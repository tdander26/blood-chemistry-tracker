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od Chemistry" sheetId="1" r:id="rId5"/>
  </sheets>
  <definedNames/>
  <calcPr/>
</workbook>
</file>

<file path=xl/sharedStrings.xml><?xml version="1.0" encoding="utf-8"?>
<sst xmlns="http://schemas.openxmlformats.org/spreadsheetml/2006/main" count="192" uniqueCount="136">
  <si>
    <t>FUNCTIONAL BLOOD CHEMISTRY EVALUATION</t>
  </si>
  <si>
    <t>Patient:</t>
  </si>
  <si>
    <t>Age:</t>
  </si>
  <si>
    <t>Sex:</t>
  </si>
  <si>
    <t>F</t>
  </si>
  <si>
    <t>Date Collected:</t>
  </si>
  <si>
    <t>Flags</t>
  </si>
  <si>
    <t>Test Name</t>
  </si>
  <si>
    <t>Patient
Value</t>
  </si>
  <si>
    <t>Lab Range</t>
  </si>
  <si>
    <t>Units</t>
  </si>
  <si>
    <t>Functional Range</t>
  </si>
  <si>
    <t>Notes</t>
  </si>
  <si>
    <t>Lab</t>
  </si>
  <si>
    <t>Functional</t>
  </si>
  <si>
    <t>Low</t>
  </si>
  <si>
    <t>High</t>
  </si>
  <si>
    <t>CBC + DIFFERENTIAL + PLATELET</t>
  </si>
  <si>
    <t>Hgb (Hemoglobin)</t>
  </si>
  <si>
    <t>g/dL</t>
  </si>
  <si>
    <t>Hct (Hematocrit)</t>
  </si>
  <si>
    <t>%</t>
  </si>
  <si>
    <t>RBC</t>
  </si>
  <si>
    <t>x10E6/uL</t>
  </si>
  <si>
    <t>MCV</t>
  </si>
  <si>
    <t>fL</t>
  </si>
  <si>
    <t>MCH</t>
  </si>
  <si>
    <t>pg</t>
  </si>
  <si>
    <t>MCHC</t>
  </si>
  <si>
    <t>RDW</t>
  </si>
  <si>
    <t>Platelets</t>
  </si>
  <si>
    <t>K</t>
  </si>
  <si>
    <t>WBC</t>
  </si>
  <si>
    <t>x10E3/uL</t>
  </si>
  <si>
    <t>Neutrophils</t>
  </si>
  <si>
    <t>Lymphocytes</t>
  </si>
  <si>
    <t>Monocytes</t>
  </si>
  <si>
    <t>Eosinophils</t>
  </si>
  <si>
    <t>Basophils</t>
  </si>
  <si>
    <t>Neutrophils (Absolute)</t>
  </si>
  <si>
    <t>Lymphocytes (Absolute)</t>
  </si>
  <si>
    <t>Monocytes (Absolute)</t>
  </si>
  <si>
    <t>Eosinophils (Absolute)</t>
  </si>
  <si>
    <t>Basophils (Absolute)</t>
  </si>
  <si>
    <t>Immature Granulocytes%</t>
  </si>
  <si>
    <t>Immature Gran (Absolute)</t>
  </si>
  <si>
    <t>CHEM ADVANTAGE</t>
  </si>
  <si>
    <t xml:space="preserve">  Glycemic</t>
  </si>
  <si>
    <t>Glucose</t>
  </si>
  <si>
    <t>mg/dL</t>
  </si>
  <si>
    <t>Hemoglobin A1C*</t>
  </si>
  <si>
    <t>Insulin</t>
  </si>
  <si>
    <t>uIU/mL</t>
  </si>
  <si>
    <t>HOMA-IR</t>
  </si>
  <si>
    <t xml:space="preserve">  Lipid</t>
  </si>
  <si>
    <t>Cholesterol</t>
  </si>
  <si>
    <t>Triglycerides</t>
  </si>
  <si>
    <t>LDL</t>
  </si>
  <si>
    <t>HDL</t>
  </si>
  <si>
    <t>Cholesterol/HDL ratio</t>
  </si>
  <si>
    <t>units</t>
  </si>
  <si>
    <t>VLDL</t>
  </si>
  <si>
    <t xml:space="preserve">  Protein</t>
  </si>
  <si>
    <t>Total Protein</t>
  </si>
  <si>
    <t>Albumin</t>
  </si>
  <si>
    <t>Globulin</t>
  </si>
  <si>
    <t>A/G ratio</t>
  </si>
  <si>
    <t xml:space="preserve">  </t>
  </si>
  <si>
    <t>Nitrogen</t>
  </si>
  <si>
    <t>eGFR – Non African Am</t>
  </si>
  <si>
    <t>mL/min/1.73</t>
  </si>
  <si>
    <t>eGFR – African Am</t>
  </si>
  <si>
    <t>Uric Acid</t>
  </si>
  <si>
    <t>BUN</t>
  </si>
  <si>
    <t>Creatinine</t>
  </si>
  <si>
    <t>BUN/Creatinine ratio</t>
  </si>
  <si>
    <t>Markers</t>
  </si>
  <si>
    <t>SGOT (AST)</t>
  </si>
  <si>
    <t>IU/L</t>
  </si>
  <si>
    <t>SGPT (ALT)</t>
  </si>
  <si>
    <t>GGTP</t>
  </si>
  <si>
    <t>LDH</t>
  </si>
  <si>
    <t>Alkaline Phosphatase</t>
  </si>
  <si>
    <t>U/L</t>
  </si>
  <si>
    <t>Total Bilirubin</t>
  </si>
  <si>
    <t>Bilirubin (direct)</t>
  </si>
  <si>
    <t>Bilirubin (indirect)</t>
  </si>
  <si>
    <t>IONS</t>
  </si>
  <si>
    <t>Sodium</t>
  </si>
  <si>
    <t>mmol/L</t>
  </si>
  <si>
    <t>Potassium</t>
  </si>
  <si>
    <t>Chloride</t>
  </si>
  <si>
    <t>Carbon Dioxide</t>
  </si>
  <si>
    <t>Anion Gap</t>
  </si>
  <si>
    <t>Calcium</t>
  </si>
  <si>
    <t>Magnesium*</t>
  </si>
  <si>
    <t>Phosphorus</t>
  </si>
  <si>
    <t>IRON</t>
  </si>
  <si>
    <t>Serum Iron</t>
  </si>
  <si>
    <t>ug/dL</t>
  </si>
  <si>
    <t>Ferritin*</t>
  </si>
  <si>
    <t>ng/mL</t>
  </si>
  <si>
    <t>TIBC</t>
  </si>
  <si>
    <t>UIBC</t>
  </si>
  <si>
    <t>Iron Saturation*</t>
  </si>
  <si>
    <t>Transferrin</t>
  </si>
  <si>
    <t>D-FLAME</t>
  </si>
  <si>
    <t>25-OH Vit D</t>
  </si>
  <si>
    <t>Homocysteine</t>
  </si>
  <si>
    <t>umol/L</t>
  </si>
  <si>
    <t>CRP-high sensitivity</t>
  </si>
  <si>
    <t>mg/L</t>
  </si>
  <si>
    <t>THYROID ADVANTAGE</t>
  </si>
  <si>
    <t>TSH</t>
  </si>
  <si>
    <t>mlU/L</t>
  </si>
  <si>
    <t>Thyroxine (Total T4)</t>
  </si>
  <si>
    <t>T3 Uptake</t>
  </si>
  <si>
    <t>Free Thyroxine Index</t>
  </si>
  <si>
    <t>Triiodothyronine (T3)</t>
  </si>
  <si>
    <t>ng/dL</t>
  </si>
  <si>
    <t>Free T3</t>
  </si>
  <si>
    <t>pg/mL</t>
  </si>
  <si>
    <t>Free T4</t>
  </si>
  <si>
    <t>Reverse T3</t>
  </si>
  <si>
    <t>TPO Antibody</t>
  </si>
  <si>
    <t>IU/mL</t>
  </si>
  <si>
    <t>Thyroglobulin Ab</t>
  </si>
  <si>
    <t>Thyroid-Binding Globulin</t>
  </si>
  <si>
    <t>ug/mL</t>
  </si>
  <si>
    <t>TESTOSTERONE</t>
  </si>
  <si>
    <t>Testosterone, Total</t>
  </si>
  <si>
    <t>Free Testosterone</t>
  </si>
  <si>
    <t>Testosterone Percentile</t>
  </si>
  <si>
    <t>ADDITIONAL RESULTS</t>
  </si>
  <si>
    <t>ANA by IFA</t>
  </si>
  <si>
    <t xml:space="preserve">  ▲ High = above range  |  ▼ Low = below range  |  Blank = within range  |  Col A = Lab Range  |  Col B = Functional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</si>
</sst>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1B3A6B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0.0"/>
      <color rgb="FF000080"/>
      <name val="Arial"/>
    </font>
    <font>
      <b/>
      <sz val="9.0"/>
      <color rgb="FF1B3A6B"/>
      <name val="Arial"/>
    </font>
    <font>
      <b/>
      <sz val="9.0"/>
      <color theme="1"/>
      <name val="Arial"/>
    </font>
    <font>
      <i/>
      <sz val="7.0"/>
      <color rgb="FF666666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10.0"/>
      <color rgb="FFFFFFFF"/>
      <name val="Arial"/>
    </font>
    <font>
      <b/>
      <sz val="8.0"/>
      <color theme="1"/>
      <name val="Arial"/>
    </font>
    <font>
      <i/>
      <sz val="8.0"/>
      <color theme="1"/>
      <name val="Arial"/>
    </font>
    <font>
      <b/>
      <i/>
      <sz val="9.0"/>
      <color rgb="FF1B3A6B"/>
      <name val="Arial"/>
    </font>
    <font>
      <i/>
      <sz val="7.0"/>
      <color rgb="FF333333"/>
      <name val="Arial"/>
    </font>
    <font>
      <b/>
      <color theme="1"/>
      <name val="Calibri"/>
    </font>
    <font>
      <i/>
      <sz val="7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D6E4F0"/>
        <bgColor rgb="FFD6E4F0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F4F8FC"/>
        <bgColor rgb="FFF4F8FC"/>
      </patternFill>
    </fill>
    <fill>
      <patternFill patternType="solid">
        <fgColor rgb="FF1B5E20"/>
        <bgColor rgb="FF1B5E20"/>
      </patternFill>
    </fill>
    <fill>
      <patternFill patternType="solid">
        <fgColor rgb="FF4A148C"/>
        <bgColor rgb="FF4A148C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006064"/>
        <bgColor rgb="FF006064"/>
      </patternFill>
    </fill>
    <fill>
      <patternFill patternType="solid">
        <fgColor rgb="FF4E342E"/>
        <bgColor rgb="FF4E342E"/>
      </patternFill>
    </fill>
    <fill>
      <patternFill patternType="solid">
        <fgColor rgb="FF37474F"/>
        <bgColor rgb="FF37474F"/>
      </patternFill>
    </fill>
  </fills>
  <borders count="18">
    <border/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top/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right" shrinkToFit="0" vertical="center" wrapText="0"/>
    </xf>
    <xf borderId="4" fillId="3" fontId="4" numFmtId="0" xfId="0" applyAlignment="1" applyBorder="1" applyFont="1">
      <alignment horizontal="left" shrinkToFit="0" vertical="center" wrapText="0"/>
    </xf>
    <xf borderId="5" fillId="0" fontId="2" numFmtId="0" xfId="0" applyBorder="1" applyFont="1"/>
    <xf borderId="3" fillId="3" fontId="5" numFmtId="0" xfId="0" applyAlignment="1" applyBorder="1" applyFont="1">
      <alignment horizontal="left" shrinkToFit="0" vertical="center" wrapText="0"/>
    </xf>
    <xf borderId="4" fillId="3" fontId="3" numFmtId="0" xfId="0" applyAlignment="1" applyBorder="1" applyFont="1">
      <alignment horizontal="right" shrinkToFit="0" vertical="center" wrapText="0"/>
    </xf>
    <xf borderId="3" fillId="3" fontId="6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right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4" fillId="0" fontId="9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4" fillId="4" fontId="10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1" fillId="2" fontId="12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3" fillId="5" fontId="13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left" shrinkToFit="0" vertical="center" wrapText="1"/>
    </xf>
    <xf borderId="3" fillId="6" fontId="13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11" fillId="6" fontId="8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left" shrinkToFit="0" vertical="center" wrapText="1"/>
    </xf>
    <xf borderId="11" fillId="5" fontId="8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center" shrinkToFit="0" vertical="center" wrapText="1"/>
    </xf>
    <xf borderId="1" fillId="7" fontId="12" numFmtId="0" xfId="0" applyAlignment="1" applyBorder="1" applyFill="1" applyFont="1">
      <alignment horizontal="center" shrinkToFit="0" vertical="center" wrapText="0"/>
    </xf>
    <xf borderId="1" fillId="3" fontId="15" numFmtId="0" xfId="0" applyAlignment="1" applyBorder="1" applyFont="1">
      <alignment horizontal="left" shrinkToFit="0" vertical="center" wrapText="0"/>
    </xf>
    <xf borderId="2" fillId="3" fontId="15" numFmtId="0" xfId="0" applyAlignment="1" applyBorder="1" applyFont="1">
      <alignment horizontal="left" shrinkToFit="0" vertical="center" wrapText="0"/>
    </xf>
    <xf borderId="13" fillId="3" fontId="15" numFmtId="0" xfId="0" applyAlignment="1" applyBorder="1" applyFont="1">
      <alignment horizontal="left" shrinkToFit="0" vertical="center" wrapText="0"/>
    </xf>
    <xf borderId="9" fillId="3" fontId="15" numFmtId="0" xfId="0" applyAlignment="1" applyBorder="1" applyFont="1">
      <alignment horizontal="left" shrinkToFit="0" vertical="center" wrapText="0"/>
    </xf>
    <xf borderId="8" fillId="6" fontId="13" numFmtId="0" xfId="0" applyAlignment="1" applyBorder="1" applyFont="1">
      <alignment horizontal="center" shrinkToFit="0" vertical="center" wrapText="1"/>
    </xf>
    <xf borderId="14" fillId="6" fontId="5" numFmtId="0" xfId="0" applyAlignment="1" applyBorder="1" applyFont="1">
      <alignment horizontal="left" shrinkToFit="0" vertical="center" wrapText="1"/>
    </xf>
    <xf borderId="10" fillId="6" fontId="8" numFmtId="0" xfId="0" applyAlignment="1" applyBorder="1" applyFont="1">
      <alignment horizontal="center" readingOrder="0" shrinkToFit="0" vertical="center" wrapText="1"/>
    </xf>
    <xf borderId="15" fillId="6" fontId="5" numFmtId="0" xfId="0" applyAlignment="1" applyBorder="1" applyFon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6" fontId="14" numFmtId="0" xfId="0" applyAlignment="1" applyBorder="1" applyFont="1">
      <alignment horizontal="left" shrinkToFit="0" vertical="center" wrapText="1"/>
    </xf>
    <xf borderId="11" fillId="6" fontId="8" numFmtId="0" xfId="0" applyAlignment="1" applyBorder="1" applyFont="1">
      <alignment horizontal="center" readingOrder="0" shrinkToFit="0" vertical="center" wrapText="1"/>
    </xf>
    <xf borderId="7" fillId="5" fontId="13" numFmtId="0" xfId="0" applyAlignment="1" applyBorder="1" applyFont="1">
      <alignment horizontal="center" shrinkToFit="0" vertical="center" wrapText="1"/>
    </xf>
    <xf borderId="16" fillId="5" fontId="5" numFmtId="0" xfId="0" applyAlignment="1" applyBorder="1" applyFont="1">
      <alignment horizontal="left" shrinkToFit="0" vertical="center" wrapText="1"/>
    </xf>
    <xf borderId="12" fillId="5" fontId="8" numFmtId="2" xfId="0" applyAlignment="1" applyBorder="1" applyFont="1" applyNumberFormat="1">
      <alignment horizontal="center" shrinkToFit="0" vertical="center" wrapText="1"/>
    </xf>
    <xf borderId="17" fillId="5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5" fontId="16" numFmtId="0" xfId="0" applyAlignment="1" applyBorder="1" applyFont="1">
      <alignment horizontal="left" shrinkToFit="0" vertical="center" wrapText="1"/>
    </xf>
    <xf borderId="0" fillId="3" fontId="15" numFmtId="0" xfId="0" applyAlignment="1" applyFont="1">
      <alignment horizontal="left" shrinkToFit="0" vertical="center" wrapText="0"/>
    </xf>
    <xf borderId="8" fillId="5" fontId="13" numFmtId="0" xfId="0" applyAlignment="1" applyBorder="1" applyFont="1">
      <alignment horizontal="center" shrinkToFit="0" vertical="center" wrapText="1"/>
    </xf>
    <xf borderId="14" fillId="5" fontId="5" numFmtId="0" xfId="0" applyAlignment="1" applyBorder="1" applyFont="1">
      <alignment horizontal="left" shrinkToFit="0" vertical="center" wrapText="1"/>
    </xf>
    <xf borderId="10" fillId="5" fontId="8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8" fillId="5" fontId="14" numFmtId="0" xfId="0" applyAlignment="1" applyBorder="1" applyFont="1">
      <alignment horizontal="left" shrinkToFit="0" vertical="center" wrapText="1"/>
    </xf>
    <xf borderId="11" fillId="5" fontId="8" numFmtId="1" xfId="0" applyAlignment="1" applyBorder="1" applyFont="1" applyNumberFormat="1">
      <alignment horizontal="center" shrinkToFit="0" vertical="center" wrapText="1"/>
    </xf>
    <xf borderId="7" fillId="6" fontId="13" numFmtId="0" xfId="0" applyAlignment="1" applyBorder="1" applyFont="1">
      <alignment horizontal="center" shrinkToFit="0" vertical="center" wrapText="1"/>
    </xf>
    <xf borderId="16" fillId="6" fontId="5" numFmtId="0" xfId="0" applyAlignment="1" applyBorder="1" applyFont="1">
      <alignment horizontal="left" shrinkToFit="0" vertical="center" wrapText="1"/>
    </xf>
    <xf borderId="12" fillId="6" fontId="8" numFmtId="0" xfId="0" applyAlignment="1" applyBorder="1" applyFont="1">
      <alignment horizontal="center" shrinkToFit="0" vertical="center" wrapText="1"/>
    </xf>
    <xf borderId="17" fillId="6" fontId="5" numFmtId="0" xfId="0" applyAlignment="1" applyBorder="1" applyFont="1">
      <alignment horizontal="center" shrinkToFit="0" vertical="center" wrapText="1"/>
    </xf>
    <xf borderId="7" fillId="6" fontId="5" numFmtId="0" xfId="0" applyAlignment="1" applyBorder="1" applyFont="1">
      <alignment horizontal="center" shrinkToFit="0" vertical="center" wrapText="1"/>
    </xf>
    <xf borderId="7" fillId="6" fontId="14" numFmtId="0" xfId="0" applyAlignment="1" applyBorder="1" applyFont="1">
      <alignment horizontal="left" shrinkToFit="0" vertical="center" wrapText="1"/>
    </xf>
    <xf borderId="10" fillId="6" fontId="8" numFmtId="0" xfId="0" applyAlignment="1" applyBorder="1" applyFont="1">
      <alignment horizontal="center" shrinkToFit="0" vertical="center" wrapText="1"/>
    </xf>
    <xf borderId="7" fillId="5" fontId="14" numFmtId="0" xfId="0" applyAlignment="1" applyBorder="1" applyFont="1">
      <alignment horizontal="left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3" fillId="5" fontId="5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horizontal="center" shrinkToFit="0" vertical="center" wrapText="0"/>
    </xf>
    <xf borderId="11" fillId="5" fontId="8" numFmtId="0" xfId="0" applyAlignment="1" applyBorder="1" applyFont="1">
      <alignment horizontal="center" readingOrder="0" shrinkToFit="0" vertical="center" wrapText="1"/>
    </xf>
    <xf borderId="1" fillId="9" fontId="12" numFmtId="0" xfId="0" applyAlignment="1" applyBorder="1" applyFill="1" applyFont="1">
      <alignment horizontal="center" shrinkToFit="0" vertical="center" wrapText="0"/>
    </xf>
    <xf borderId="11" fillId="6" fontId="8" numFmtId="164" xfId="0" applyAlignment="1" applyBorder="1" applyFont="1" applyNumberFormat="1">
      <alignment horizontal="center" shrinkToFit="0" vertical="center" wrapText="1"/>
    </xf>
    <xf borderId="5" fillId="6" fontId="5" numFmtId="9" xfId="0" applyAlignment="1" applyBorder="1" applyFont="1" applyNumberFormat="1">
      <alignment horizontal="center" readingOrder="0" shrinkToFit="0" vertical="center" wrapText="1"/>
    </xf>
    <xf borderId="3" fillId="6" fontId="5" numFmtId="9" xfId="0" applyAlignment="1" applyBorder="1" applyFont="1" applyNumberFormat="1">
      <alignment horizontal="center" readingOrder="0" shrinkToFit="0" vertical="center" wrapText="1"/>
    </xf>
    <xf borderId="1" fillId="10" fontId="12" numFmtId="0" xfId="0" applyAlignment="1" applyBorder="1" applyFill="1" applyFont="1">
      <alignment horizontal="center" shrinkToFit="0" vertical="center" wrapText="0"/>
    </xf>
    <xf borderId="1" fillId="11" fontId="12" numFmtId="0" xfId="0" applyAlignment="1" applyBorder="1" applyFill="1" applyFont="1">
      <alignment horizontal="center" shrinkToFit="0" vertical="center" wrapText="0"/>
    </xf>
    <xf borderId="1" fillId="12" fontId="12" numFmtId="0" xfId="0" applyAlignment="1" applyBorder="1" applyFill="1" applyFont="1">
      <alignment horizontal="center" shrinkToFit="0" vertical="center" wrapText="0"/>
    </xf>
    <xf borderId="1" fillId="13" fontId="12" numFmtId="0" xfId="0" applyAlignment="1" applyBorder="1" applyFill="1" applyFont="1">
      <alignment horizontal="center" shrinkToFit="0" vertical="center" wrapText="0"/>
    </xf>
    <xf borderId="3" fillId="5" fontId="5" numFmtId="0" xfId="0" applyAlignment="1" applyBorder="1" applyFont="1">
      <alignment horizontal="left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0" fillId="0" fontId="17" numFmtId="0" xfId="0" applyFont="1"/>
    <xf borderId="0" fillId="0" fontId="18" numFmtId="0" xfId="0" applyAlignment="1" applyFont="1">
      <alignment horizontal="center" shrinkToFit="0" vertical="center" wrapText="0"/>
    </xf>
  </cellXfs>
  <cellStyles count="1">
    <cellStyle xfId="0" name="Normal" builtinId="0"/>
  </cellStyles>
  <dxfs count="2">
    <dxf>
      <font>
        <b/>
        <color rgb="FF990000"/>
      </font>
      <fill>
        <patternFill patternType="solid">
          <fgColor rgb="FFFFCCCC"/>
          <bgColor rgb="FFFFCCCC"/>
        </patternFill>
      </fill>
      <border/>
    </dxf>
    <dxf>
      <font>
        <b/>
        <color rgb="FF003399"/>
      </font>
      <fill>
        <patternFill patternType="solid">
          <fgColor rgb="FFCCE5FF"/>
          <bgColor rgb="FFCCE5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1.0"/>
    <col customWidth="1" min="4" max="4" width="10.0"/>
    <col customWidth="1" min="5" max="6" width="6.86"/>
    <col customWidth="1" min="7" max="7" width="9.71"/>
    <col customWidth="1" min="8" max="9" width="9.0"/>
    <col customWidth="1" min="10" max="10" width="2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3" t="s">
        <v>1</v>
      </c>
      <c r="B2" s="4"/>
      <c r="C2" s="5"/>
      <c r="D2" s="3" t="s">
        <v>2</v>
      </c>
      <c r="E2" s="6"/>
      <c r="F2" s="3"/>
      <c r="G2" s="7" t="s">
        <v>3</v>
      </c>
      <c r="H2" s="5"/>
      <c r="I2" s="8" t="s">
        <v>4</v>
      </c>
      <c r="J2" s="8"/>
    </row>
    <row r="3" ht="13.5" customHeight="1">
      <c r="A3" s="9" t="s">
        <v>5</v>
      </c>
      <c r="B3" s="10"/>
      <c r="C3" s="5"/>
      <c r="D3" s="11"/>
      <c r="E3" s="12"/>
      <c r="F3" s="12"/>
      <c r="G3" s="12"/>
      <c r="H3" s="12"/>
      <c r="I3" s="12"/>
      <c r="J3" s="5"/>
    </row>
    <row r="4" ht="15.75" customHeight="1">
      <c r="A4" s="13" t="s">
        <v>6</v>
      </c>
      <c r="B4" s="5"/>
      <c r="C4" s="14" t="s">
        <v>7</v>
      </c>
      <c r="D4" s="15" t="s">
        <v>8</v>
      </c>
      <c r="E4" s="13" t="s">
        <v>9</v>
      </c>
      <c r="F4" s="5"/>
      <c r="G4" s="14" t="s">
        <v>10</v>
      </c>
      <c r="H4" s="13" t="s">
        <v>11</v>
      </c>
      <c r="I4" s="5"/>
      <c r="J4" s="14" t="s">
        <v>12</v>
      </c>
    </row>
    <row r="5" ht="13.5" customHeight="1">
      <c r="A5" s="16" t="s">
        <v>13</v>
      </c>
      <c r="B5" s="16" t="s">
        <v>14</v>
      </c>
      <c r="C5" s="16"/>
      <c r="D5" s="17"/>
      <c r="E5" s="16" t="s">
        <v>15</v>
      </c>
      <c r="F5" s="16" t="s">
        <v>16</v>
      </c>
      <c r="G5" s="16"/>
      <c r="H5" s="16" t="s">
        <v>15</v>
      </c>
      <c r="I5" s="16" t="s">
        <v>16</v>
      </c>
      <c r="J5" s="16"/>
    </row>
    <row r="6" ht="18.0" customHeight="1">
      <c r="A6" s="18" t="s">
        <v>17</v>
      </c>
      <c r="B6" s="2"/>
      <c r="C6" s="2"/>
      <c r="D6" s="2"/>
      <c r="E6" s="2"/>
      <c r="F6" s="2"/>
      <c r="G6" s="2"/>
      <c r="H6" s="2"/>
      <c r="I6" s="2"/>
      <c r="J6" s="19"/>
    </row>
    <row r="7" ht="14.25" customHeight="1">
      <c r="A7" s="20" t="str">
        <f t="shared" ref="A7:A27" si="1">IF(ISNUMBER(D7),IF(D7&lt;E7,"▼ Low",IF(D7&gt;F7,"▲ High","")),"")</f>
        <v/>
      </c>
      <c r="B7" s="20" t="str">
        <f t="shared" ref="B7:B27" si="2">IF(ISNUMBER(D7),IF(D7&lt;H7,"▼ Low",IF(D7&gt;I7,"▲ High","")),"")</f>
        <v/>
      </c>
      <c r="C7" s="21" t="s">
        <v>18</v>
      </c>
      <c r="D7" s="22"/>
      <c r="E7" s="23">
        <f>IF(LEFT($I$2,1)="M",13,11.1)</f>
        <v>11.1</v>
      </c>
      <c r="F7" s="24">
        <f>IF(LEFT($I$2,1)="M",17.5,15.9)</f>
        <v>15.9</v>
      </c>
      <c r="G7" s="24" t="s">
        <v>19</v>
      </c>
      <c r="H7" s="24">
        <f>IF(LEFT($I$2,1)="M",14,13.5)</f>
        <v>13.5</v>
      </c>
      <c r="I7" s="24">
        <f>IF(LEFT($I$2,1)="M",15,14.5)</f>
        <v>14.5</v>
      </c>
      <c r="J7" s="25"/>
    </row>
    <row r="8" ht="14.25" customHeight="1">
      <c r="A8" s="26" t="str">
        <f t="shared" si="1"/>
        <v/>
      </c>
      <c r="B8" s="26" t="str">
        <f t="shared" si="2"/>
        <v/>
      </c>
      <c r="C8" s="27" t="s">
        <v>20</v>
      </c>
      <c r="D8" s="28"/>
      <c r="E8" s="29">
        <f>IF(LEFT($I$2,1)="M",38.3,34)</f>
        <v>34</v>
      </c>
      <c r="F8" s="30">
        <f>IF(LEFT($I$2,1)="M",48.6,46.6)</f>
        <v>46.6</v>
      </c>
      <c r="G8" s="30" t="s">
        <v>21</v>
      </c>
      <c r="H8" s="30">
        <f>IF(LEFT($I$2,1)="M",40,37)</f>
        <v>37</v>
      </c>
      <c r="I8" s="30">
        <f>IF(LEFT($I$2,1)="M",48,40)</f>
        <v>40</v>
      </c>
      <c r="J8" s="31"/>
    </row>
    <row r="9" ht="14.25" customHeight="1">
      <c r="A9" s="20" t="str">
        <f t="shared" si="1"/>
        <v/>
      </c>
      <c r="B9" s="20" t="str">
        <f t="shared" si="2"/>
        <v/>
      </c>
      <c r="C9" s="21" t="s">
        <v>22</v>
      </c>
      <c r="D9" s="32"/>
      <c r="E9" s="23">
        <f>IF(LEFT($I$2,1)="M",4.14,3.77)</f>
        <v>3.77</v>
      </c>
      <c r="F9" s="24">
        <f>IF(LEFT($I$2,1)="M",5.8,5.28)</f>
        <v>5.28</v>
      </c>
      <c r="G9" s="24" t="s">
        <v>23</v>
      </c>
      <c r="H9" s="24">
        <f>IF(LEFT($I$2,1)="M",4.5,3.9)</f>
        <v>3.9</v>
      </c>
      <c r="I9" s="24">
        <f>IF(LEFT($I$2,1)="M",5.5,4.5)</f>
        <v>4.5</v>
      </c>
      <c r="J9" s="25"/>
    </row>
    <row r="10" ht="14.25" customHeight="1">
      <c r="A10" s="26" t="str">
        <f t="shared" si="1"/>
        <v/>
      </c>
      <c r="B10" s="26" t="str">
        <f t="shared" si="2"/>
        <v/>
      </c>
      <c r="C10" s="27" t="s">
        <v>24</v>
      </c>
      <c r="D10" s="28"/>
      <c r="E10" s="29">
        <v>79.0</v>
      </c>
      <c r="F10" s="30">
        <v>97.0</v>
      </c>
      <c r="G10" s="30" t="s">
        <v>25</v>
      </c>
      <c r="H10" s="30">
        <v>85.0</v>
      </c>
      <c r="I10" s="30">
        <v>92.0</v>
      </c>
      <c r="J10" s="31" t="str">
        <f>IFERROR(
  IF(B10="▲ High", "Low B9 or B12",
    IF(B10="▼ Low","Low Iron","")),
  "Invalid Value")
</f>
        <v/>
      </c>
    </row>
    <row r="11" ht="14.25" customHeight="1">
      <c r="A11" s="20" t="str">
        <f t="shared" si="1"/>
        <v/>
      </c>
      <c r="B11" s="20" t="str">
        <f t="shared" si="2"/>
        <v/>
      </c>
      <c r="C11" s="21" t="s">
        <v>26</v>
      </c>
      <c r="D11" s="32"/>
      <c r="E11" s="23">
        <v>26.6</v>
      </c>
      <c r="F11" s="24">
        <v>33.0</v>
      </c>
      <c r="G11" s="24" t="s">
        <v>27</v>
      </c>
      <c r="H11" s="24">
        <v>27.7</v>
      </c>
      <c r="I11" s="24">
        <v>32.0</v>
      </c>
      <c r="J11" s="25"/>
    </row>
    <row r="12" ht="14.25" customHeight="1">
      <c r="A12" s="26" t="str">
        <f t="shared" si="1"/>
        <v/>
      </c>
      <c r="B12" s="26" t="str">
        <f t="shared" si="2"/>
        <v/>
      </c>
      <c r="C12" s="27" t="s">
        <v>28</v>
      </c>
      <c r="D12" s="28"/>
      <c r="E12" s="29">
        <v>31.5</v>
      </c>
      <c r="F12" s="30">
        <v>35.7</v>
      </c>
      <c r="G12" s="30" t="s">
        <v>19</v>
      </c>
      <c r="H12" s="30">
        <v>32.0</v>
      </c>
      <c r="I12" s="30">
        <v>36.0</v>
      </c>
      <c r="J12" s="31"/>
    </row>
    <row r="13" ht="14.25" customHeight="1">
      <c r="A13" s="20" t="str">
        <f t="shared" si="1"/>
        <v/>
      </c>
      <c r="B13" s="20" t="str">
        <f t="shared" si="2"/>
        <v/>
      </c>
      <c r="C13" s="21" t="s">
        <v>29</v>
      </c>
      <c r="D13" s="32"/>
      <c r="E13" s="23">
        <v>12.3</v>
      </c>
      <c r="F13" s="24">
        <v>15.4</v>
      </c>
      <c r="G13" s="24" t="s">
        <v>21</v>
      </c>
      <c r="H13" s="24">
        <v>11.7</v>
      </c>
      <c r="I13" s="24">
        <v>15.0</v>
      </c>
      <c r="J13" s="25"/>
    </row>
    <row r="14" ht="14.25" customHeight="1">
      <c r="A14" s="26" t="str">
        <f t="shared" si="1"/>
        <v/>
      </c>
      <c r="B14" s="26" t="str">
        <f t="shared" si="2"/>
        <v/>
      </c>
      <c r="C14" s="27" t="s">
        <v>30</v>
      </c>
      <c r="D14" s="28"/>
      <c r="E14" s="29">
        <v>150.0</v>
      </c>
      <c r="F14" s="30">
        <v>379.0</v>
      </c>
      <c r="G14" s="30" t="s">
        <v>31</v>
      </c>
      <c r="H14" s="30">
        <v>140.0</v>
      </c>
      <c r="I14" s="30">
        <v>415.0</v>
      </c>
      <c r="J14" s="31"/>
    </row>
    <row r="15" ht="14.25" customHeight="1">
      <c r="A15" s="20" t="str">
        <f t="shared" si="1"/>
        <v/>
      </c>
      <c r="B15" s="20" t="str">
        <f t="shared" si="2"/>
        <v/>
      </c>
      <c r="C15" s="21" t="s">
        <v>32</v>
      </c>
      <c r="D15" s="32"/>
      <c r="E15" s="23">
        <v>3.4</v>
      </c>
      <c r="F15" s="24">
        <v>10.8</v>
      </c>
      <c r="G15" s="24" t="s">
        <v>33</v>
      </c>
      <c r="H15" s="24">
        <v>5.0</v>
      </c>
      <c r="I15" s="24">
        <v>8.0</v>
      </c>
      <c r="J15" s="25"/>
    </row>
    <row r="16" ht="14.25" customHeight="1">
      <c r="A16" s="26" t="str">
        <f t="shared" si="1"/>
        <v/>
      </c>
      <c r="B16" s="26" t="str">
        <f t="shared" si="2"/>
        <v/>
      </c>
      <c r="C16" s="27" t="s">
        <v>34</v>
      </c>
      <c r="D16" s="28"/>
      <c r="E16" s="29">
        <v>40.0</v>
      </c>
      <c r="F16" s="30">
        <v>74.0</v>
      </c>
      <c r="G16" s="30" t="s">
        <v>21</v>
      </c>
      <c r="H16" s="30">
        <v>40.0</v>
      </c>
      <c r="I16" s="30">
        <v>60.0</v>
      </c>
      <c r="J16" s="31"/>
    </row>
    <row r="17" ht="14.25" customHeight="1">
      <c r="A17" s="20" t="str">
        <f t="shared" si="1"/>
        <v/>
      </c>
      <c r="B17" s="20" t="str">
        <f t="shared" si="2"/>
        <v/>
      </c>
      <c r="C17" s="21" t="s">
        <v>35</v>
      </c>
      <c r="D17" s="32"/>
      <c r="E17" s="23">
        <v>14.0</v>
      </c>
      <c r="F17" s="24">
        <v>46.0</v>
      </c>
      <c r="G17" s="24" t="s">
        <v>21</v>
      </c>
      <c r="H17" s="24">
        <v>25.0</v>
      </c>
      <c r="I17" s="24">
        <v>40.0</v>
      </c>
      <c r="J17" s="25"/>
    </row>
    <row r="18" ht="14.25" customHeight="1">
      <c r="A18" s="26" t="str">
        <f t="shared" si="1"/>
        <v/>
      </c>
      <c r="B18" s="26" t="str">
        <f t="shared" si="2"/>
        <v/>
      </c>
      <c r="C18" s="27" t="s">
        <v>36</v>
      </c>
      <c r="D18" s="28"/>
      <c r="E18" s="29">
        <v>4.0</v>
      </c>
      <c r="F18" s="30">
        <v>13.0</v>
      </c>
      <c r="G18" s="30" t="s">
        <v>21</v>
      </c>
      <c r="H18" s="30">
        <v>4.0</v>
      </c>
      <c r="I18" s="30">
        <v>7.0</v>
      </c>
      <c r="J18" s="31" t="str">
        <f>IFERROR(
  IF(D18&gt;7, "Inflammation - Debris",""),
  "Invalid Value")</f>
        <v/>
      </c>
    </row>
    <row r="19" ht="14.25" customHeight="1">
      <c r="A19" s="20" t="str">
        <f t="shared" si="1"/>
        <v/>
      </c>
      <c r="B19" s="20" t="str">
        <f t="shared" si="2"/>
        <v/>
      </c>
      <c r="C19" s="21" t="s">
        <v>37</v>
      </c>
      <c r="D19" s="32"/>
      <c r="E19" s="23">
        <v>0.0</v>
      </c>
      <c r="F19" s="24">
        <v>7.0</v>
      </c>
      <c r="G19" s="24" t="s">
        <v>21</v>
      </c>
      <c r="H19" s="24">
        <v>0.0</v>
      </c>
      <c r="I19" s="24">
        <v>3.0</v>
      </c>
      <c r="J19" s="25" t="str">
        <f>IFERROR(
  IF(D19&gt;3, "Allergy or Parasite",""),
  "Invalid Value")</f>
        <v/>
      </c>
    </row>
    <row r="20" ht="14.25" customHeight="1">
      <c r="A20" s="26" t="str">
        <f t="shared" si="1"/>
        <v/>
      </c>
      <c r="B20" s="26" t="str">
        <f t="shared" si="2"/>
        <v/>
      </c>
      <c r="C20" s="27" t="s">
        <v>38</v>
      </c>
      <c r="D20" s="28"/>
      <c r="E20" s="29">
        <v>0.0</v>
      </c>
      <c r="F20" s="30">
        <v>3.0</v>
      </c>
      <c r="G20" s="30" t="s">
        <v>21</v>
      </c>
      <c r="H20" s="30">
        <v>0.0</v>
      </c>
      <c r="I20" s="30">
        <v>3.0</v>
      </c>
      <c r="J20" s="31"/>
    </row>
    <row r="21" ht="14.25" customHeight="1">
      <c r="A21" s="20" t="str">
        <f t="shared" si="1"/>
        <v/>
      </c>
      <c r="B21" s="20" t="str">
        <f t="shared" si="2"/>
        <v/>
      </c>
      <c r="C21" s="21" t="s">
        <v>39</v>
      </c>
      <c r="D21" s="32"/>
      <c r="E21" s="23">
        <v>1.4</v>
      </c>
      <c r="F21" s="24">
        <v>7.0</v>
      </c>
      <c r="G21" s="24" t="s">
        <v>33</v>
      </c>
      <c r="H21" s="24">
        <v>1.4</v>
      </c>
      <c r="I21" s="24">
        <v>7.0</v>
      </c>
      <c r="J21" s="25"/>
    </row>
    <row r="22" ht="14.25" customHeight="1">
      <c r="A22" s="26" t="str">
        <f t="shared" si="1"/>
        <v/>
      </c>
      <c r="B22" s="26" t="str">
        <f t="shared" si="2"/>
        <v/>
      </c>
      <c r="C22" s="27" t="s">
        <v>40</v>
      </c>
      <c r="D22" s="28"/>
      <c r="E22" s="29">
        <v>0.7</v>
      </c>
      <c r="F22" s="30">
        <v>3.1</v>
      </c>
      <c r="G22" s="30" t="s">
        <v>33</v>
      </c>
      <c r="H22" s="30">
        <v>0.7</v>
      </c>
      <c r="I22" s="30">
        <v>3.1</v>
      </c>
      <c r="J22" s="31"/>
    </row>
    <row r="23" ht="14.25" customHeight="1">
      <c r="A23" s="20" t="str">
        <f t="shared" si="1"/>
        <v/>
      </c>
      <c r="B23" s="20" t="str">
        <f t="shared" si="2"/>
        <v/>
      </c>
      <c r="C23" s="21" t="s">
        <v>41</v>
      </c>
      <c r="D23" s="32"/>
      <c r="E23" s="23">
        <v>0.1</v>
      </c>
      <c r="F23" s="24">
        <v>0.9</v>
      </c>
      <c r="G23" s="24" t="s">
        <v>33</v>
      </c>
      <c r="H23" s="24">
        <v>0.1</v>
      </c>
      <c r="I23" s="24">
        <v>0.9</v>
      </c>
      <c r="J23" s="25"/>
    </row>
    <row r="24" ht="14.25" customHeight="1">
      <c r="A24" s="26" t="str">
        <f t="shared" si="1"/>
        <v/>
      </c>
      <c r="B24" s="26" t="str">
        <f t="shared" si="2"/>
        <v/>
      </c>
      <c r="C24" s="27" t="s">
        <v>42</v>
      </c>
      <c r="D24" s="28"/>
      <c r="E24" s="29">
        <v>0.0</v>
      </c>
      <c r="F24" s="30">
        <v>0.4</v>
      </c>
      <c r="G24" s="30" t="s">
        <v>33</v>
      </c>
      <c r="H24" s="30">
        <v>0.0</v>
      </c>
      <c r="I24" s="30">
        <v>0.4</v>
      </c>
      <c r="J24" s="31"/>
    </row>
    <row r="25" ht="14.25" customHeight="1">
      <c r="A25" s="20" t="str">
        <f t="shared" si="1"/>
        <v/>
      </c>
      <c r="B25" s="20" t="str">
        <f t="shared" si="2"/>
        <v/>
      </c>
      <c r="C25" s="21" t="s">
        <v>43</v>
      </c>
      <c r="D25" s="32"/>
      <c r="E25" s="23">
        <v>0.0</v>
      </c>
      <c r="F25" s="24">
        <v>0.2</v>
      </c>
      <c r="G25" s="24" t="s">
        <v>33</v>
      </c>
      <c r="H25" s="24">
        <v>0.0</v>
      </c>
      <c r="I25" s="24">
        <v>0.2</v>
      </c>
      <c r="J25" s="25"/>
    </row>
    <row r="26" ht="14.25" customHeight="1">
      <c r="A26" s="26" t="str">
        <f t="shared" si="1"/>
        <v/>
      </c>
      <c r="B26" s="26" t="str">
        <f t="shared" si="2"/>
        <v/>
      </c>
      <c r="C26" s="27" t="s">
        <v>44</v>
      </c>
      <c r="D26" s="28"/>
      <c r="E26" s="29">
        <v>0.0</v>
      </c>
      <c r="F26" s="30">
        <v>1.0</v>
      </c>
      <c r="G26" s="30" t="s">
        <v>21</v>
      </c>
      <c r="H26" s="30">
        <v>0.0</v>
      </c>
      <c r="I26" s="30">
        <v>1.0</v>
      </c>
      <c r="J26" s="31"/>
    </row>
    <row r="27" ht="14.25" customHeight="1">
      <c r="A27" s="20" t="str">
        <f t="shared" si="1"/>
        <v/>
      </c>
      <c r="B27" s="20" t="str">
        <f t="shared" si="2"/>
        <v/>
      </c>
      <c r="C27" s="21" t="s">
        <v>45</v>
      </c>
      <c r="D27" s="33"/>
      <c r="E27" s="23">
        <v>0.0</v>
      </c>
      <c r="F27" s="24">
        <v>0.1</v>
      </c>
      <c r="G27" s="24" t="s">
        <v>33</v>
      </c>
      <c r="H27" s="24">
        <v>0.0</v>
      </c>
      <c r="I27" s="24">
        <v>0.1</v>
      </c>
      <c r="J27" s="25"/>
    </row>
    <row r="28" ht="18.0" customHeight="1">
      <c r="A28" s="34" t="s">
        <v>46</v>
      </c>
      <c r="B28" s="2"/>
      <c r="C28" s="2"/>
      <c r="D28" s="2"/>
      <c r="E28" s="2"/>
      <c r="F28" s="2"/>
      <c r="G28" s="2"/>
      <c r="H28" s="2"/>
      <c r="I28" s="2"/>
      <c r="J28" s="19"/>
    </row>
    <row r="29" ht="15.75" customHeight="1">
      <c r="A29" s="35"/>
      <c r="B29" s="36"/>
      <c r="C29" s="36" t="s">
        <v>47</v>
      </c>
      <c r="D29" s="37"/>
      <c r="E29" s="36"/>
      <c r="F29" s="36"/>
      <c r="G29" s="36"/>
      <c r="H29" s="36"/>
      <c r="I29" s="36"/>
      <c r="J29" s="38"/>
    </row>
    <row r="30" ht="14.25" customHeight="1">
      <c r="A30" s="39" t="str">
        <f t="shared" ref="A30:A32" si="3">IF(ISNUMBER(D30),IF(D30&lt;E30,"▼ Low",IF(D30&gt;F30,"▲ High","")),"")</f>
        <v/>
      </c>
      <c r="B30" s="39" t="str">
        <f t="shared" ref="B30:B33" si="4">IF(ISNUMBER(D30),IF(D30&lt;H30,"▼ Low",IF(D30&gt;I30,"▲ High","")),"")</f>
        <v/>
      </c>
      <c r="C30" s="40" t="s">
        <v>48</v>
      </c>
      <c r="D30" s="41"/>
      <c r="E30" s="42">
        <v>65.0</v>
      </c>
      <c r="F30" s="43">
        <v>99.0</v>
      </c>
      <c r="G30" s="43" t="s">
        <v>49</v>
      </c>
      <c r="H30" s="43">
        <v>85.0</v>
      </c>
      <c r="I30" s="43">
        <v>99.0</v>
      </c>
      <c r="J30" s="44"/>
    </row>
    <row r="31" ht="14.25" customHeight="1">
      <c r="A31" s="20" t="str">
        <f t="shared" si="3"/>
        <v/>
      </c>
      <c r="B31" s="20" t="str">
        <f t="shared" si="4"/>
        <v/>
      </c>
      <c r="C31" s="21" t="s">
        <v>50</v>
      </c>
      <c r="D31" s="32"/>
      <c r="E31" s="23">
        <v>4.8</v>
      </c>
      <c r="F31" s="24">
        <v>5.6</v>
      </c>
      <c r="G31" s="24" t="s">
        <v>21</v>
      </c>
      <c r="H31" s="24">
        <v>4.8</v>
      </c>
      <c r="I31" s="24">
        <v>5.6</v>
      </c>
      <c r="J31" s="25"/>
    </row>
    <row r="32" ht="14.25" customHeight="1">
      <c r="A32" s="26" t="str">
        <f t="shared" si="3"/>
        <v/>
      </c>
      <c r="B32" s="26" t="str">
        <f t="shared" si="4"/>
        <v/>
      </c>
      <c r="C32" s="27" t="s">
        <v>51</v>
      </c>
      <c r="D32" s="45"/>
      <c r="E32" s="29">
        <v>2.6</v>
      </c>
      <c r="F32" s="30">
        <v>24.9</v>
      </c>
      <c r="G32" s="30" t="s">
        <v>52</v>
      </c>
      <c r="H32" s="30">
        <v>2.0</v>
      </c>
      <c r="I32" s="30">
        <v>5.0</v>
      </c>
      <c r="J32" s="31"/>
    </row>
    <row r="33" ht="14.25" customHeight="1">
      <c r="A33" s="46"/>
      <c r="B33" s="46" t="str">
        <f t="shared" si="4"/>
        <v/>
      </c>
      <c r="C33" s="47" t="s">
        <v>53</v>
      </c>
      <c r="D33" s="48">
        <f>D32*D30/405</f>
        <v>0</v>
      </c>
      <c r="E33" s="49"/>
      <c r="F33" s="50"/>
      <c r="G33" s="50"/>
      <c r="H33" s="50">
        <v>0.0</v>
      </c>
      <c r="I33" s="50">
        <v>1.5</v>
      </c>
      <c r="J33" s="51" t="str">
        <f>IFERROR(
  IF(D33=0, "Not Measured",
    IF(D33&lt;2, "Healthy",
      IF(D33&lt;3, "Early Signs of Insulin Resistance",
        "Significant Signs of Insulin Resistance"))),
  "Invalid Value")</f>
        <v>Not Measured</v>
      </c>
    </row>
    <row r="34" ht="15.75" customHeight="1">
      <c r="A34" s="35"/>
      <c r="B34" s="36"/>
      <c r="C34" s="36" t="s">
        <v>54</v>
      </c>
      <c r="D34" s="52"/>
      <c r="E34" s="36"/>
      <c r="F34" s="36"/>
      <c r="G34" s="36"/>
      <c r="H34" s="36"/>
      <c r="I34" s="36"/>
      <c r="J34" s="38"/>
    </row>
    <row r="35" ht="14.25" customHeight="1">
      <c r="A35" s="53" t="str">
        <f t="shared" ref="A35:A40" si="5">IF(ISNUMBER(D35),IF(D35&lt;E35,"▼ Low",IF(D35&gt;F35,"▲ High","")),"")</f>
        <v/>
      </c>
      <c r="B35" s="53" t="str">
        <f t="shared" ref="B35:B40" si="6">IF(ISNUMBER(D35),IF(D35&lt;H35,"▼ Low",IF(D35&gt;I35,"▲ High","")),"")</f>
        <v/>
      </c>
      <c r="C35" s="54" t="s">
        <v>55</v>
      </c>
      <c r="D35" s="55"/>
      <c r="E35" s="56">
        <v>100.0</v>
      </c>
      <c r="F35" s="57">
        <v>200.0</v>
      </c>
      <c r="G35" s="57" t="s">
        <v>49</v>
      </c>
      <c r="H35" s="57">
        <v>150.0</v>
      </c>
      <c r="I35" s="57">
        <v>199.0</v>
      </c>
      <c r="J35" s="58"/>
    </row>
    <row r="36" ht="14.25" customHeight="1">
      <c r="A36" s="26" t="str">
        <f t="shared" si="5"/>
        <v/>
      </c>
      <c r="B36" s="26" t="str">
        <f t="shared" si="6"/>
        <v/>
      </c>
      <c r="C36" s="27" t="s">
        <v>56</v>
      </c>
      <c r="D36" s="28"/>
      <c r="E36" s="29">
        <v>0.0</v>
      </c>
      <c r="F36" s="30">
        <v>149.0</v>
      </c>
      <c r="G36" s="30" t="s">
        <v>49</v>
      </c>
      <c r="H36" s="30">
        <v>75.0</v>
      </c>
      <c r="I36" s="30">
        <v>100.0</v>
      </c>
      <c r="J36" s="31"/>
    </row>
    <row r="37" ht="14.25" customHeight="1">
      <c r="A37" s="20" t="str">
        <f t="shared" si="5"/>
        <v/>
      </c>
      <c r="B37" s="20" t="str">
        <f t="shared" si="6"/>
        <v/>
      </c>
      <c r="C37" s="21" t="s">
        <v>57</v>
      </c>
      <c r="D37" s="32"/>
      <c r="E37" s="23">
        <v>0.0</v>
      </c>
      <c r="F37" s="24">
        <v>100.0</v>
      </c>
      <c r="G37" s="24" t="s">
        <v>49</v>
      </c>
      <c r="H37" s="24">
        <v>0.0</v>
      </c>
      <c r="I37" s="24">
        <v>99.0</v>
      </c>
      <c r="J37" s="25"/>
    </row>
    <row r="38" ht="14.25" customHeight="1">
      <c r="A38" s="26" t="str">
        <f t="shared" si="5"/>
        <v/>
      </c>
      <c r="B38" s="26" t="str">
        <f t="shared" si="6"/>
        <v/>
      </c>
      <c r="C38" s="27" t="s">
        <v>58</v>
      </c>
      <c r="D38" s="45"/>
      <c r="E38" s="29">
        <v>40.0</v>
      </c>
      <c r="F38" s="30">
        <v>1000.0</v>
      </c>
      <c r="G38" s="30" t="s">
        <v>49</v>
      </c>
      <c r="H38" s="30">
        <v>55.0</v>
      </c>
      <c r="I38" s="30">
        <v>100.0</v>
      </c>
      <c r="J38" s="31"/>
    </row>
    <row r="39" ht="14.25" customHeight="1">
      <c r="A39" s="20" t="str">
        <f t="shared" si="5"/>
        <v/>
      </c>
      <c r="B39" s="20" t="str">
        <f t="shared" si="6"/>
        <v/>
      </c>
      <c r="C39" s="21" t="s">
        <v>59</v>
      </c>
      <c r="D39" s="59" t="str">
        <f>IFERROR(D35/D38,"")</f>
        <v/>
      </c>
      <c r="E39" s="23">
        <v>0.0</v>
      </c>
      <c r="F39" s="24">
        <v>4.4</v>
      </c>
      <c r="G39" s="24" t="s">
        <v>60</v>
      </c>
      <c r="H39" s="24">
        <v>0.0</v>
      </c>
      <c r="I39" s="24">
        <v>3.1</v>
      </c>
      <c r="J39" s="25"/>
    </row>
    <row r="40" ht="14.25" customHeight="1">
      <c r="A40" s="60" t="str">
        <f t="shared" si="5"/>
        <v/>
      </c>
      <c r="B40" s="60" t="str">
        <f t="shared" si="6"/>
        <v/>
      </c>
      <c r="C40" s="61" t="s">
        <v>61</v>
      </c>
      <c r="D40" s="62"/>
      <c r="E40" s="63">
        <v>5.0</v>
      </c>
      <c r="F40" s="64">
        <v>40.0</v>
      </c>
      <c r="G40" s="64" t="s">
        <v>49</v>
      </c>
      <c r="H40" s="64">
        <v>5.0</v>
      </c>
      <c r="I40" s="64">
        <v>40.0</v>
      </c>
      <c r="J40" s="65"/>
    </row>
    <row r="41" ht="15.75" customHeight="1">
      <c r="A41" s="35"/>
      <c r="B41" s="36"/>
      <c r="C41" s="36" t="s">
        <v>62</v>
      </c>
      <c r="D41" s="52"/>
      <c r="E41" s="36"/>
      <c r="F41" s="36"/>
      <c r="G41" s="36"/>
      <c r="H41" s="36"/>
      <c r="I41" s="36"/>
      <c r="J41" s="38"/>
    </row>
    <row r="42" ht="14.25" customHeight="1">
      <c r="A42" s="39" t="str">
        <f t="shared" ref="A42:A45" si="7">IF(ISNUMBER(D42),IF(D42&lt;E42,"▼ Low",IF(D42&gt;F42,"▲ High","")),"")</f>
        <v/>
      </c>
      <c r="B42" s="39" t="str">
        <f t="shared" ref="B42:B45" si="8">IF(ISNUMBER(D42),IF(D42&lt;H42,"▼ Low",IF(D42&gt;I42,"▲ High","")),"")</f>
        <v/>
      </c>
      <c r="C42" s="40" t="s">
        <v>63</v>
      </c>
      <c r="D42" s="66"/>
      <c r="E42" s="42">
        <v>6.0</v>
      </c>
      <c r="F42" s="43">
        <v>8.5</v>
      </c>
      <c r="G42" s="43" t="s">
        <v>19</v>
      </c>
      <c r="H42" s="43">
        <v>6.9</v>
      </c>
      <c r="I42" s="43">
        <v>7.4</v>
      </c>
      <c r="J42" s="44"/>
    </row>
    <row r="43" ht="14.25" customHeight="1">
      <c r="A43" s="20" t="str">
        <f t="shared" si="7"/>
        <v/>
      </c>
      <c r="B43" s="20" t="str">
        <f t="shared" si="8"/>
        <v/>
      </c>
      <c r="C43" s="21" t="s">
        <v>64</v>
      </c>
      <c r="D43" s="32"/>
      <c r="E43" s="23">
        <v>3.5</v>
      </c>
      <c r="F43" s="24">
        <v>5.5</v>
      </c>
      <c r="G43" s="24" t="s">
        <v>19</v>
      </c>
      <c r="H43" s="24">
        <v>4.0</v>
      </c>
      <c r="I43" s="24">
        <v>5.0</v>
      </c>
      <c r="J43" s="25"/>
    </row>
    <row r="44" ht="14.25" customHeight="1">
      <c r="A44" s="26" t="str">
        <f t="shared" si="7"/>
        <v/>
      </c>
      <c r="B44" s="26" t="str">
        <f t="shared" si="8"/>
        <v/>
      </c>
      <c r="C44" s="27" t="s">
        <v>65</v>
      </c>
      <c r="D44" s="28"/>
      <c r="E44" s="29">
        <v>1.5</v>
      </c>
      <c r="F44" s="30">
        <v>4.5</v>
      </c>
      <c r="G44" s="30" t="s">
        <v>19</v>
      </c>
      <c r="H44" s="30">
        <v>2.4</v>
      </c>
      <c r="I44" s="30">
        <v>2.8</v>
      </c>
      <c r="J44" s="31"/>
    </row>
    <row r="45" ht="14.25" customHeight="1">
      <c r="A45" s="46" t="str">
        <f t="shared" si="7"/>
        <v/>
      </c>
      <c r="B45" s="46" t="str">
        <f t="shared" si="8"/>
        <v/>
      </c>
      <c r="C45" s="47" t="s">
        <v>66</v>
      </c>
      <c r="D45" s="33" t="str">
        <f>IFERROR(D43/D44,"")</f>
        <v/>
      </c>
      <c r="E45" s="49">
        <v>1.1</v>
      </c>
      <c r="F45" s="50">
        <v>2.2</v>
      </c>
      <c r="G45" s="50" t="s">
        <v>60</v>
      </c>
      <c r="H45" s="50">
        <v>1.5</v>
      </c>
      <c r="I45" s="50">
        <v>2.0</v>
      </c>
      <c r="J45" s="67"/>
    </row>
    <row r="46" ht="15.75" customHeight="1">
      <c r="A46" s="35" t="s">
        <v>67</v>
      </c>
      <c r="B46" s="36"/>
      <c r="C46" s="36" t="s">
        <v>68</v>
      </c>
      <c r="D46" s="52"/>
      <c r="E46" s="36"/>
      <c r="F46" s="36"/>
      <c r="G46" s="36"/>
      <c r="H46" s="36"/>
      <c r="I46" s="36"/>
      <c r="J46" s="38"/>
    </row>
    <row r="47" ht="14.25" customHeight="1">
      <c r="A47" s="53" t="str">
        <f t="shared" ref="A47:A52" si="9">IF(ISNUMBER(D47),IF(D47&lt;E47,"▼ Low",IF(D47&gt;F47,"▲ High","")),"")</f>
        <v/>
      </c>
      <c r="B47" s="53" t="str">
        <f t="shared" ref="B47:B52" si="10">IF(ISNUMBER(D47),IF(D47&lt;H47,"▼ Low",IF(D47&gt;I47,"▲ High","")),"")</f>
        <v/>
      </c>
      <c r="C47" s="54" t="s">
        <v>69</v>
      </c>
      <c r="D47" s="22"/>
      <c r="E47" s="56">
        <v>59.0</v>
      </c>
      <c r="F47" s="57">
        <v>1000.0</v>
      </c>
      <c r="G47" s="57" t="s">
        <v>70</v>
      </c>
      <c r="H47" s="57">
        <v>59.0</v>
      </c>
      <c r="I47" s="57">
        <v>1000.0</v>
      </c>
      <c r="J47" s="58"/>
    </row>
    <row r="48" ht="14.25" customHeight="1">
      <c r="A48" s="26" t="str">
        <f t="shared" si="9"/>
        <v/>
      </c>
      <c r="B48" s="26" t="str">
        <f t="shared" si="10"/>
        <v/>
      </c>
      <c r="C48" s="27" t="s">
        <v>71</v>
      </c>
      <c r="D48" s="28"/>
      <c r="E48" s="29">
        <v>59.0</v>
      </c>
      <c r="F48" s="30">
        <v>1000.0</v>
      </c>
      <c r="G48" s="30" t="s">
        <v>70</v>
      </c>
      <c r="H48" s="30">
        <v>59.0</v>
      </c>
      <c r="I48" s="30">
        <v>1000.0</v>
      </c>
      <c r="J48" s="31"/>
    </row>
    <row r="49" ht="14.25" customHeight="1">
      <c r="A49" s="20" t="str">
        <f t="shared" si="9"/>
        <v/>
      </c>
      <c r="B49" s="20" t="str">
        <f t="shared" si="10"/>
        <v/>
      </c>
      <c r="C49" s="21" t="s">
        <v>72</v>
      </c>
      <c r="D49" s="32"/>
      <c r="E49" s="23">
        <f>IF(LEFT($I$2,1)="M",3.4,2.5)</f>
        <v>2.5</v>
      </c>
      <c r="F49" s="24">
        <f>IF(LEFT($I$2,1)="M",7,7.1)</f>
        <v>7.1</v>
      </c>
      <c r="G49" s="24" t="s">
        <v>49</v>
      </c>
      <c r="H49" s="24">
        <f>IF(LEFT($I$2,1)="M",3.5,3.2)</f>
        <v>3.2</v>
      </c>
      <c r="I49" s="24">
        <f>IF(LEFT($I$2,1)="M",5.9,5.5)</f>
        <v>5.5</v>
      </c>
      <c r="J49" s="25"/>
    </row>
    <row r="50" ht="14.25" customHeight="1">
      <c r="A50" s="26" t="str">
        <f t="shared" si="9"/>
        <v/>
      </c>
      <c r="B50" s="26" t="str">
        <f t="shared" si="10"/>
        <v/>
      </c>
      <c r="C50" s="27" t="s">
        <v>73</v>
      </c>
      <c r="D50" s="28"/>
      <c r="E50" s="29">
        <v>6.0</v>
      </c>
      <c r="F50" s="30">
        <v>20.0</v>
      </c>
      <c r="G50" s="30" t="s">
        <v>49</v>
      </c>
      <c r="H50" s="30">
        <v>13.0</v>
      </c>
      <c r="I50" s="30">
        <v>18.0</v>
      </c>
      <c r="J50" s="31"/>
    </row>
    <row r="51" ht="14.25" customHeight="1">
      <c r="A51" s="20" t="str">
        <f t="shared" si="9"/>
        <v/>
      </c>
      <c r="B51" s="20" t="str">
        <f t="shared" si="10"/>
        <v/>
      </c>
      <c r="C51" s="21" t="s">
        <v>74</v>
      </c>
      <c r="D51" s="32"/>
      <c r="E51" s="23">
        <f>IF(LEFT($I$2,1)="M",0.76,0.57)</f>
        <v>0.57</v>
      </c>
      <c r="F51" s="24">
        <f>IF(LEFT($I$2,1)="M",1.27,1)</f>
        <v>1</v>
      </c>
      <c r="G51" s="24" t="s">
        <v>49</v>
      </c>
      <c r="H51" s="24">
        <f>IF(LEFT($I$2,1)="M",0.9,0.65)</f>
        <v>0.65</v>
      </c>
      <c r="I51" s="24">
        <f>IF(LEFT($I$2,1)="M",1.2,0.9)</f>
        <v>0.9</v>
      </c>
      <c r="J51" s="25"/>
    </row>
    <row r="52" ht="14.25" customHeight="1">
      <c r="A52" s="60" t="str">
        <f t="shared" si="9"/>
        <v/>
      </c>
      <c r="B52" s="60" t="str">
        <f t="shared" si="10"/>
        <v/>
      </c>
      <c r="C52" s="61" t="s">
        <v>75</v>
      </c>
      <c r="D52" s="62"/>
      <c r="E52" s="63">
        <v>8.0</v>
      </c>
      <c r="F52" s="64">
        <v>19.0</v>
      </c>
      <c r="G52" s="64" t="s">
        <v>60</v>
      </c>
      <c r="H52" s="64">
        <v>10.0</v>
      </c>
      <c r="I52" s="64">
        <v>20.0</v>
      </c>
      <c r="J52" s="65"/>
    </row>
    <row r="53" ht="15.75" customHeight="1">
      <c r="A53" s="35" t="s">
        <v>67</v>
      </c>
      <c r="B53" s="36"/>
      <c r="C53" s="36" t="s">
        <v>76</v>
      </c>
      <c r="D53" s="52"/>
      <c r="E53" s="36"/>
      <c r="F53" s="36"/>
      <c r="G53" s="36"/>
      <c r="H53" s="36"/>
      <c r="I53" s="36"/>
      <c r="J53" s="38"/>
    </row>
    <row r="54" ht="14.25" customHeight="1">
      <c r="A54" s="39" t="str">
        <f t="shared" ref="A54:A61" si="11">IF(ISNUMBER(D54),IF(D54&lt;E54,"▼ Low",IF(D54&gt;F54,"▲ High","")),"")</f>
        <v/>
      </c>
      <c r="B54" s="39" t="str">
        <f t="shared" ref="B54:B61" si="12">IF(ISNUMBER(D54),IF(D54&lt;H54,"▼ Low",IF(D54&gt;I54,"▲ High","")),"")</f>
        <v/>
      </c>
      <c r="C54" s="40" t="s">
        <v>77</v>
      </c>
      <c r="D54" s="66"/>
      <c r="E54" s="42">
        <v>0.0</v>
      </c>
      <c r="F54" s="43">
        <v>40.0</v>
      </c>
      <c r="G54" s="43" t="s">
        <v>78</v>
      </c>
      <c r="H54" s="43">
        <v>10.0</v>
      </c>
      <c r="I54" s="43">
        <v>26.0</v>
      </c>
      <c r="J54" s="44"/>
    </row>
    <row r="55" ht="14.25" customHeight="1">
      <c r="A55" s="20" t="str">
        <f t="shared" si="11"/>
        <v/>
      </c>
      <c r="B55" s="20" t="str">
        <f t="shared" si="12"/>
        <v/>
      </c>
      <c r="C55" s="21" t="s">
        <v>79</v>
      </c>
      <c r="D55" s="32"/>
      <c r="E55" s="23">
        <v>0.0</v>
      </c>
      <c r="F55" s="24">
        <v>32.0</v>
      </c>
      <c r="G55" s="24" t="s">
        <v>78</v>
      </c>
      <c r="H55" s="24">
        <v>10.0</v>
      </c>
      <c r="I55" s="24">
        <v>26.0</v>
      </c>
      <c r="J55" s="25"/>
    </row>
    <row r="56" ht="14.25" customHeight="1">
      <c r="A56" s="26" t="str">
        <f t="shared" si="11"/>
        <v/>
      </c>
      <c r="B56" s="26" t="str">
        <f t="shared" si="12"/>
        <v/>
      </c>
      <c r="C56" s="27" t="s">
        <v>80</v>
      </c>
      <c r="D56" s="28"/>
      <c r="E56" s="29">
        <v>0.0</v>
      </c>
      <c r="F56" s="30">
        <v>60.0</v>
      </c>
      <c r="G56" s="30" t="s">
        <v>78</v>
      </c>
      <c r="H56" s="30">
        <v>10.0</v>
      </c>
      <c r="I56" s="30">
        <v>60.0</v>
      </c>
      <c r="J56" s="31"/>
    </row>
    <row r="57" ht="14.25" customHeight="1">
      <c r="A57" s="20" t="str">
        <f t="shared" si="11"/>
        <v/>
      </c>
      <c r="B57" s="20" t="str">
        <f t="shared" si="12"/>
        <v/>
      </c>
      <c r="C57" s="21" t="s">
        <v>81</v>
      </c>
      <c r="D57" s="32"/>
      <c r="E57" s="23">
        <v>119.0</v>
      </c>
      <c r="F57" s="24">
        <v>226.0</v>
      </c>
      <c r="G57" s="24" t="s">
        <v>78</v>
      </c>
      <c r="H57" s="24">
        <v>140.0</v>
      </c>
      <c r="I57" s="24">
        <v>180.0</v>
      </c>
      <c r="J57" s="25" t="str">
        <f>IFERROR(
  IF(B57="▼ Low", "Reactive Hypoglycemia",""),
  "Invalid Value")</f>
        <v/>
      </c>
    </row>
    <row r="58" ht="14.25" customHeight="1">
      <c r="A58" s="26" t="str">
        <f t="shared" si="11"/>
        <v/>
      </c>
      <c r="B58" s="26" t="str">
        <f t="shared" si="12"/>
        <v/>
      </c>
      <c r="C58" s="27" t="s">
        <v>82</v>
      </c>
      <c r="D58" s="28"/>
      <c r="E58" s="29">
        <v>39.0</v>
      </c>
      <c r="F58" s="30">
        <v>117.0</v>
      </c>
      <c r="G58" s="30" t="s">
        <v>83</v>
      </c>
      <c r="H58" s="30">
        <v>27.0</v>
      </c>
      <c r="I58" s="30">
        <v>90.0</v>
      </c>
      <c r="J58" s="31"/>
    </row>
    <row r="59" ht="14.25" customHeight="1">
      <c r="A59" s="20" t="str">
        <f t="shared" si="11"/>
        <v/>
      </c>
      <c r="B59" s="20" t="str">
        <f t="shared" si="12"/>
        <v/>
      </c>
      <c r="C59" s="21" t="s">
        <v>84</v>
      </c>
      <c r="D59" s="32"/>
      <c r="E59" s="23">
        <v>0.0</v>
      </c>
      <c r="F59" s="24">
        <v>1.2</v>
      </c>
      <c r="G59" s="24" t="s">
        <v>49</v>
      </c>
      <c r="H59" s="24">
        <v>0.1</v>
      </c>
      <c r="I59" s="24">
        <v>1.2</v>
      </c>
      <c r="J59" s="25"/>
    </row>
    <row r="60" ht="14.25" customHeight="1">
      <c r="A60" s="26" t="str">
        <f t="shared" si="11"/>
        <v/>
      </c>
      <c r="B60" s="26" t="str">
        <f t="shared" si="12"/>
        <v/>
      </c>
      <c r="C60" s="27" t="s">
        <v>85</v>
      </c>
      <c r="D60" s="28"/>
      <c r="E60" s="29">
        <v>0.0</v>
      </c>
      <c r="F60" s="30">
        <v>0.4</v>
      </c>
      <c r="G60" s="30" t="s">
        <v>49</v>
      </c>
      <c r="H60" s="30">
        <v>0.0</v>
      </c>
      <c r="I60" s="30">
        <v>0.3</v>
      </c>
      <c r="J60" s="31"/>
    </row>
    <row r="61" ht="14.25" customHeight="1">
      <c r="A61" s="20" t="str">
        <f t="shared" si="11"/>
        <v/>
      </c>
      <c r="B61" s="20" t="str">
        <f t="shared" si="12"/>
        <v/>
      </c>
      <c r="C61" s="21" t="s">
        <v>86</v>
      </c>
      <c r="D61" s="33"/>
      <c r="E61" s="68">
        <v>0.1</v>
      </c>
      <c r="F61" s="69">
        <v>0.8</v>
      </c>
      <c r="G61" s="24" t="s">
        <v>49</v>
      </c>
      <c r="H61" s="69">
        <v>0.1</v>
      </c>
      <c r="I61" s="69">
        <v>0.8</v>
      </c>
      <c r="J61" s="25"/>
    </row>
    <row r="62" ht="18.0" customHeight="1">
      <c r="A62" s="70" t="s">
        <v>87</v>
      </c>
      <c r="B62" s="2"/>
      <c r="C62" s="2"/>
      <c r="D62" s="2"/>
      <c r="E62" s="2"/>
      <c r="F62" s="2"/>
      <c r="G62" s="2"/>
      <c r="H62" s="2"/>
      <c r="I62" s="2"/>
      <c r="J62" s="19"/>
    </row>
    <row r="63" ht="14.25" customHeight="1">
      <c r="A63" s="20" t="str">
        <f t="shared" ref="A63:A70" si="13">IF(ISNUMBER(D63),IF(D63&lt;E63,"▼ Low",IF(D63&gt;F63,"▲ High","")),"")</f>
        <v/>
      </c>
      <c r="B63" s="20" t="str">
        <f t="shared" ref="B63:B70" si="14">IF(ISNUMBER(D63),IF(D63&lt;H63,"▼ Low",IF(D63&gt;I63,"▲ High","")),"")</f>
        <v/>
      </c>
      <c r="C63" s="21" t="s">
        <v>88</v>
      </c>
      <c r="D63" s="55"/>
      <c r="E63" s="23">
        <v>134.0</v>
      </c>
      <c r="F63" s="24">
        <v>144.0</v>
      </c>
      <c r="G63" s="24" t="s">
        <v>89</v>
      </c>
      <c r="H63" s="24">
        <v>135.0</v>
      </c>
      <c r="I63" s="24">
        <v>142.0</v>
      </c>
      <c r="J63" s="25"/>
    </row>
    <row r="64" ht="14.25" customHeight="1">
      <c r="A64" s="26" t="str">
        <f t="shared" si="13"/>
        <v/>
      </c>
      <c r="B64" s="26" t="str">
        <f t="shared" si="14"/>
        <v/>
      </c>
      <c r="C64" s="27" t="s">
        <v>90</v>
      </c>
      <c r="D64" s="28"/>
      <c r="E64" s="29">
        <v>3.5</v>
      </c>
      <c r="F64" s="30">
        <v>5.2</v>
      </c>
      <c r="G64" s="30" t="s">
        <v>89</v>
      </c>
      <c r="H64" s="30">
        <v>4.0</v>
      </c>
      <c r="I64" s="30">
        <v>4.5</v>
      </c>
      <c r="J64" s="31"/>
    </row>
    <row r="65" ht="14.25" customHeight="1">
      <c r="A65" s="20" t="str">
        <f t="shared" si="13"/>
        <v/>
      </c>
      <c r="B65" s="20" t="str">
        <f t="shared" si="14"/>
        <v/>
      </c>
      <c r="C65" s="21" t="s">
        <v>91</v>
      </c>
      <c r="D65" s="71"/>
      <c r="E65" s="23">
        <v>96.0</v>
      </c>
      <c r="F65" s="24">
        <v>106.0</v>
      </c>
      <c r="G65" s="24" t="s">
        <v>89</v>
      </c>
      <c r="H65" s="24">
        <v>100.0</v>
      </c>
      <c r="I65" s="24">
        <v>106.0</v>
      </c>
      <c r="J65" s="25"/>
    </row>
    <row r="66" ht="14.25" customHeight="1">
      <c r="A66" s="26" t="str">
        <f t="shared" si="13"/>
        <v/>
      </c>
      <c r="B66" s="26" t="str">
        <f t="shared" si="14"/>
        <v/>
      </c>
      <c r="C66" s="27" t="s">
        <v>92</v>
      </c>
      <c r="D66" s="45"/>
      <c r="E66" s="29">
        <v>20.0</v>
      </c>
      <c r="F66" s="30">
        <v>29.0</v>
      </c>
      <c r="G66" s="30" t="s">
        <v>89</v>
      </c>
      <c r="H66" s="30">
        <v>25.0</v>
      </c>
      <c r="I66" s="30">
        <v>30.0</v>
      </c>
      <c r="J66" s="31" t="str">
        <f>IFERROR(
  IF(B66="▼ Low", "Adrenal Dysregulation",""),
  "Invalid Value")</f>
        <v/>
      </c>
    </row>
    <row r="67" ht="14.25" customHeight="1">
      <c r="A67" s="20" t="str">
        <f t="shared" si="13"/>
        <v/>
      </c>
      <c r="B67" s="20" t="str">
        <f t="shared" si="14"/>
        <v/>
      </c>
      <c r="C67" s="21" t="s">
        <v>93</v>
      </c>
      <c r="D67" s="32" t="str">
        <f>LET(result, D63-D65-D66,
     IF(OR(result=0, ISERROR(result)), "", result))</f>
        <v/>
      </c>
      <c r="E67" s="23">
        <v>7.0</v>
      </c>
      <c r="F67" s="24">
        <v>12.0</v>
      </c>
      <c r="G67" s="24"/>
      <c r="H67" s="24">
        <v>3.0</v>
      </c>
      <c r="I67" s="24">
        <v>11.0</v>
      </c>
      <c r="J67" s="25"/>
    </row>
    <row r="68" ht="14.25" customHeight="1">
      <c r="A68" s="26" t="str">
        <f t="shared" si="13"/>
        <v/>
      </c>
      <c r="B68" s="26" t="str">
        <f t="shared" si="14"/>
        <v/>
      </c>
      <c r="C68" s="27" t="s">
        <v>94</v>
      </c>
      <c r="D68" s="28"/>
      <c r="E68" s="29">
        <v>8.7</v>
      </c>
      <c r="F68" s="30">
        <v>10.2</v>
      </c>
      <c r="G68" s="30" t="s">
        <v>49</v>
      </c>
      <c r="H68" s="30">
        <v>9.2</v>
      </c>
      <c r="I68" s="30">
        <v>9.7</v>
      </c>
      <c r="J68" s="31"/>
    </row>
    <row r="69" ht="14.25" customHeight="1">
      <c r="A69" s="20" t="str">
        <f t="shared" si="13"/>
        <v/>
      </c>
      <c r="B69" s="20" t="str">
        <f t="shared" si="14"/>
        <v/>
      </c>
      <c r="C69" s="21" t="s">
        <v>95</v>
      </c>
      <c r="D69" s="32"/>
      <c r="E69" s="23">
        <v>1.6</v>
      </c>
      <c r="F69" s="24">
        <v>2.3</v>
      </c>
      <c r="G69" s="24" t="s">
        <v>49</v>
      </c>
      <c r="H69" s="24">
        <v>2.0</v>
      </c>
      <c r="I69" s="24">
        <v>2.5</v>
      </c>
      <c r="J69" s="25"/>
    </row>
    <row r="70" ht="14.25" customHeight="1">
      <c r="A70" s="26" t="str">
        <f t="shared" si="13"/>
        <v/>
      </c>
      <c r="B70" s="26" t="str">
        <f t="shared" si="14"/>
        <v/>
      </c>
      <c r="C70" s="27" t="s">
        <v>96</v>
      </c>
      <c r="D70" s="62"/>
      <c r="E70" s="29">
        <v>3.0</v>
      </c>
      <c r="F70" s="30">
        <v>4.3</v>
      </c>
      <c r="G70" s="30" t="s">
        <v>49</v>
      </c>
      <c r="H70" s="30">
        <v>3.0</v>
      </c>
      <c r="I70" s="30">
        <v>4.0</v>
      </c>
      <c r="J70" s="31"/>
    </row>
    <row r="71" ht="18.0" customHeight="1">
      <c r="A71" s="72" t="s">
        <v>97</v>
      </c>
      <c r="B71" s="2"/>
      <c r="C71" s="2"/>
      <c r="D71" s="2"/>
      <c r="E71" s="2"/>
      <c r="F71" s="2"/>
      <c r="G71" s="2"/>
      <c r="H71" s="2"/>
      <c r="I71" s="2"/>
      <c r="J71" s="19"/>
    </row>
    <row r="72" ht="14.25" customHeight="1">
      <c r="A72" s="26" t="str">
        <f t="shared" ref="A72:A77" si="15">IF(ISNUMBER(D72),IF(D72&lt;E72,"▼ Low",IF(D72&gt;F72,"▲ High","")),"")</f>
        <v/>
      </c>
      <c r="B72" s="26" t="str">
        <f t="shared" ref="B72:B77" si="16">IF(ISNUMBER(D72),IF(D72&lt;H72,"▼ Low",IF(D72&gt;I72,"▲ High","")),"")</f>
        <v/>
      </c>
      <c r="C72" s="27" t="s">
        <v>98</v>
      </c>
      <c r="D72" s="41"/>
      <c r="E72" s="29">
        <v>27.0</v>
      </c>
      <c r="F72" s="30">
        <v>159.0</v>
      </c>
      <c r="G72" s="30" t="s">
        <v>99</v>
      </c>
      <c r="H72" s="30">
        <v>85.0</v>
      </c>
      <c r="I72" s="30">
        <v>130.0</v>
      </c>
      <c r="J72" s="31"/>
    </row>
    <row r="73" ht="14.25" customHeight="1">
      <c r="A73" s="20" t="str">
        <f t="shared" si="15"/>
        <v/>
      </c>
      <c r="B73" s="20" t="str">
        <f t="shared" si="16"/>
        <v/>
      </c>
      <c r="C73" s="21" t="s">
        <v>100</v>
      </c>
      <c r="D73" s="32"/>
      <c r="E73" s="23">
        <v>45.0</v>
      </c>
      <c r="F73" s="24">
        <v>150.0</v>
      </c>
      <c r="G73" s="24" t="s">
        <v>101</v>
      </c>
      <c r="H73" s="24">
        <v>45.0</v>
      </c>
      <c r="I73" s="24">
        <v>122.0</v>
      </c>
      <c r="J73" s="25"/>
    </row>
    <row r="74" ht="14.25" customHeight="1">
      <c r="A74" s="26" t="str">
        <f t="shared" si="15"/>
        <v/>
      </c>
      <c r="B74" s="26" t="str">
        <f t="shared" si="16"/>
        <v/>
      </c>
      <c r="C74" s="27" t="s">
        <v>102</v>
      </c>
      <c r="D74" s="45"/>
      <c r="E74" s="29">
        <v>250.0</v>
      </c>
      <c r="F74" s="30">
        <v>450.0</v>
      </c>
      <c r="G74" s="30" t="s">
        <v>99</v>
      </c>
      <c r="H74" s="30">
        <v>250.0</v>
      </c>
      <c r="I74" s="30">
        <v>370.0</v>
      </c>
      <c r="J74" s="31"/>
    </row>
    <row r="75" ht="14.25" customHeight="1">
      <c r="A75" s="20" t="str">
        <f t="shared" si="15"/>
        <v/>
      </c>
      <c r="B75" s="20" t="str">
        <f t="shared" si="16"/>
        <v/>
      </c>
      <c r="C75" s="21" t="s">
        <v>103</v>
      </c>
      <c r="D75" s="32"/>
      <c r="E75" s="23">
        <v>131.0</v>
      </c>
      <c r="F75" s="24">
        <v>425.0</v>
      </c>
      <c r="G75" s="24" t="s">
        <v>99</v>
      </c>
      <c r="H75" s="24">
        <v>150.0</v>
      </c>
      <c r="I75" s="24">
        <v>200.0</v>
      </c>
      <c r="J75" s="25"/>
    </row>
    <row r="76" ht="14.25" customHeight="1">
      <c r="A76" s="26" t="str">
        <f t="shared" si="15"/>
        <v/>
      </c>
      <c r="B76" s="26" t="str">
        <f t="shared" si="16"/>
        <v/>
      </c>
      <c r="C76" s="27" t="s">
        <v>104</v>
      </c>
      <c r="D76" s="73" t="str">
        <f>IFERROR(D72/D74,"")</f>
        <v/>
      </c>
      <c r="E76" s="74">
        <v>0.15</v>
      </c>
      <c r="F76" s="75">
        <v>0.55</v>
      </c>
      <c r="G76" s="30" t="s">
        <v>21</v>
      </c>
      <c r="H76" s="75">
        <v>0.15</v>
      </c>
      <c r="I76" s="75">
        <v>0.55</v>
      </c>
      <c r="J76" s="31"/>
    </row>
    <row r="77" ht="14.25" customHeight="1">
      <c r="A77" s="20" t="str">
        <f t="shared" si="15"/>
        <v/>
      </c>
      <c r="B77" s="20" t="str">
        <f t="shared" si="16"/>
        <v/>
      </c>
      <c r="C77" s="21" t="s">
        <v>105</v>
      </c>
      <c r="D77" s="33"/>
      <c r="E77" s="23">
        <v>192.0</v>
      </c>
      <c r="F77" s="24">
        <v>364.0</v>
      </c>
      <c r="G77" s="24" t="s">
        <v>49</v>
      </c>
      <c r="H77" s="24">
        <v>200.0</v>
      </c>
      <c r="I77" s="24">
        <v>300.0</v>
      </c>
      <c r="J77" s="25"/>
    </row>
    <row r="78" ht="18.0" customHeight="1">
      <c r="A78" s="76" t="s">
        <v>106</v>
      </c>
      <c r="B78" s="2"/>
      <c r="C78" s="2"/>
      <c r="D78" s="2"/>
      <c r="E78" s="2"/>
      <c r="F78" s="2"/>
      <c r="G78" s="2"/>
      <c r="H78" s="2"/>
      <c r="I78" s="2"/>
      <c r="J78" s="19"/>
    </row>
    <row r="79" ht="14.25" customHeight="1">
      <c r="A79" s="20" t="str">
        <f t="shared" ref="A79:A81" si="17">IF(ISNUMBER(D79),IF(D79&lt;E79,"▼ Low",IF(D79&gt;F79,"▲ High","")),"")</f>
        <v/>
      </c>
      <c r="B79" s="20" t="str">
        <f t="shared" ref="B79:B81" si="18">IF(ISNUMBER(D79),IF(D79&lt;H79,"▼ Low",IF(D79&gt;I79,"▲ High","")),"")</f>
        <v/>
      </c>
      <c r="C79" s="21" t="s">
        <v>107</v>
      </c>
      <c r="D79" s="22"/>
      <c r="E79" s="23">
        <v>30.0</v>
      </c>
      <c r="F79" s="24">
        <v>100.0</v>
      </c>
      <c r="G79" s="24" t="s">
        <v>101</v>
      </c>
      <c r="H79" s="24">
        <v>50.0</v>
      </c>
      <c r="I79" s="24">
        <v>100.0</v>
      </c>
      <c r="J79" s="25"/>
    </row>
    <row r="80" ht="14.25" customHeight="1">
      <c r="A80" s="20" t="str">
        <f t="shared" si="17"/>
        <v/>
      </c>
      <c r="B80" s="20" t="str">
        <f t="shared" si="18"/>
        <v/>
      </c>
      <c r="C80" s="21" t="s">
        <v>108</v>
      </c>
      <c r="D80" s="32"/>
      <c r="E80" s="23">
        <v>0.0</v>
      </c>
      <c r="F80" s="24">
        <v>14.0</v>
      </c>
      <c r="G80" s="24" t="s">
        <v>109</v>
      </c>
      <c r="H80" s="24">
        <v>0.0</v>
      </c>
      <c r="I80" s="24">
        <v>6.5</v>
      </c>
      <c r="J80" s="25"/>
    </row>
    <row r="81" ht="14.25" customHeight="1">
      <c r="A81" s="26" t="str">
        <f t="shared" si="17"/>
        <v/>
      </c>
      <c r="B81" s="26" t="str">
        <f t="shared" si="18"/>
        <v/>
      </c>
      <c r="C81" s="27" t="s">
        <v>110</v>
      </c>
      <c r="D81" s="62"/>
      <c r="E81" s="29">
        <v>0.0</v>
      </c>
      <c r="F81" s="30">
        <v>3.0</v>
      </c>
      <c r="G81" s="30" t="s">
        <v>111</v>
      </c>
      <c r="H81" s="30">
        <v>0.0</v>
      </c>
      <c r="I81" s="30">
        <v>3.0</v>
      </c>
      <c r="J81" s="31"/>
    </row>
    <row r="82" ht="18.0" customHeight="1">
      <c r="A82" s="77" t="s">
        <v>112</v>
      </c>
      <c r="B82" s="2"/>
      <c r="C82" s="2"/>
      <c r="D82" s="2"/>
      <c r="E82" s="2"/>
      <c r="F82" s="2"/>
      <c r="G82" s="2"/>
      <c r="H82" s="2"/>
      <c r="I82" s="2"/>
      <c r="J82" s="19"/>
    </row>
    <row r="83" ht="14.25" customHeight="1">
      <c r="A83" s="20" t="str">
        <f t="shared" ref="A83:A93" si="19">IF(ISNUMBER(D83),IF(D83&lt;E83,"▼ Low",IF(D83&gt;F83,"▲ High","")),"")</f>
        <v/>
      </c>
      <c r="B83" s="20" t="str">
        <f t="shared" ref="B83:B93" si="20">IF(ISNUMBER(D83),IF(D83&lt;H83,"▼ Low",IF(D83&gt;I83,"▲ High","")),"")</f>
        <v/>
      </c>
      <c r="C83" s="21" t="s">
        <v>113</v>
      </c>
      <c r="D83" s="22"/>
      <c r="E83" s="23">
        <v>0.45</v>
      </c>
      <c r="F83" s="24">
        <v>4.5</v>
      </c>
      <c r="G83" s="24" t="s">
        <v>114</v>
      </c>
      <c r="H83" s="24">
        <v>1.8</v>
      </c>
      <c r="I83" s="24">
        <v>3.0</v>
      </c>
      <c r="J83" s="25"/>
    </row>
    <row r="84" ht="14.25" customHeight="1">
      <c r="A84" s="26" t="str">
        <f t="shared" si="19"/>
        <v/>
      </c>
      <c r="B84" s="26" t="str">
        <f t="shared" si="20"/>
        <v/>
      </c>
      <c r="C84" s="27" t="s">
        <v>115</v>
      </c>
      <c r="D84" s="28"/>
      <c r="E84" s="29">
        <v>4.5</v>
      </c>
      <c r="F84" s="30">
        <v>12.0</v>
      </c>
      <c r="G84" s="30" t="s">
        <v>99</v>
      </c>
      <c r="H84" s="30">
        <v>6.0</v>
      </c>
      <c r="I84" s="30">
        <v>12.0</v>
      </c>
      <c r="J84" s="31"/>
    </row>
    <row r="85" ht="14.25" customHeight="1">
      <c r="A85" s="20" t="str">
        <f t="shared" si="19"/>
        <v/>
      </c>
      <c r="B85" s="20" t="str">
        <f t="shared" si="20"/>
        <v/>
      </c>
      <c r="C85" s="21" t="s">
        <v>116</v>
      </c>
      <c r="D85" s="32"/>
      <c r="E85" s="23">
        <v>24.0</v>
      </c>
      <c r="F85" s="24">
        <v>39.0</v>
      </c>
      <c r="G85" s="24" t="s">
        <v>21</v>
      </c>
      <c r="H85" s="24">
        <v>27.0</v>
      </c>
      <c r="I85" s="24">
        <v>37.0</v>
      </c>
      <c r="J85" s="25"/>
    </row>
    <row r="86" ht="14.25" customHeight="1">
      <c r="A86" s="26" t="str">
        <f t="shared" si="19"/>
        <v/>
      </c>
      <c r="B86" s="26" t="str">
        <f t="shared" si="20"/>
        <v/>
      </c>
      <c r="C86" s="27" t="s">
        <v>117</v>
      </c>
      <c r="D86" s="28"/>
      <c r="E86" s="29">
        <v>1.2</v>
      </c>
      <c r="F86" s="30">
        <v>4.9</v>
      </c>
      <c r="G86" s="30"/>
      <c r="H86" s="30">
        <v>1.8</v>
      </c>
      <c r="I86" s="30">
        <v>3.8</v>
      </c>
      <c r="J86" s="31"/>
    </row>
    <row r="87" ht="14.25" customHeight="1">
      <c r="A87" s="20" t="str">
        <f t="shared" si="19"/>
        <v/>
      </c>
      <c r="B87" s="20" t="str">
        <f t="shared" si="20"/>
        <v/>
      </c>
      <c r="C87" s="21" t="s">
        <v>118</v>
      </c>
      <c r="D87" s="32"/>
      <c r="E87" s="23">
        <v>71.0</v>
      </c>
      <c r="F87" s="24">
        <v>180.0</v>
      </c>
      <c r="G87" s="24" t="s">
        <v>119</v>
      </c>
      <c r="H87" s="24">
        <v>100.0</v>
      </c>
      <c r="I87" s="24">
        <v>180.0</v>
      </c>
      <c r="J87" s="25"/>
    </row>
    <row r="88" ht="14.25" customHeight="1">
      <c r="A88" s="26" t="str">
        <f t="shared" si="19"/>
        <v/>
      </c>
      <c r="B88" s="26" t="str">
        <f t="shared" si="20"/>
        <v/>
      </c>
      <c r="C88" s="27" t="s">
        <v>120</v>
      </c>
      <c r="D88" s="28"/>
      <c r="E88" s="29">
        <v>2.0</v>
      </c>
      <c r="F88" s="30">
        <v>4.4</v>
      </c>
      <c r="G88" s="30" t="s">
        <v>121</v>
      </c>
      <c r="H88" s="30">
        <v>3.0</v>
      </c>
      <c r="I88" s="30">
        <v>4.0</v>
      </c>
      <c r="J88" s="31"/>
    </row>
    <row r="89" ht="14.25" customHeight="1">
      <c r="A89" s="20" t="str">
        <f t="shared" si="19"/>
        <v/>
      </c>
      <c r="B89" s="20" t="str">
        <f t="shared" si="20"/>
        <v/>
      </c>
      <c r="C89" s="21" t="s">
        <v>122</v>
      </c>
      <c r="D89" s="32"/>
      <c r="E89" s="23">
        <v>0.82</v>
      </c>
      <c r="F89" s="24">
        <v>1.77</v>
      </c>
      <c r="G89" s="24" t="s">
        <v>119</v>
      </c>
      <c r="H89" s="24">
        <v>1.0</v>
      </c>
      <c r="I89" s="24">
        <v>1.5</v>
      </c>
      <c r="J89" s="25"/>
    </row>
    <row r="90" ht="14.25" customHeight="1">
      <c r="A90" s="26" t="str">
        <f t="shared" si="19"/>
        <v/>
      </c>
      <c r="B90" s="26" t="str">
        <f t="shared" si="20"/>
        <v/>
      </c>
      <c r="C90" s="27" t="s">
        <v>123</v>
      </c>
      <c r="D90" s="28"/>
      <c r="E90" s="29">
        <v>9.2</v>
      </c>
      <c r="F90" s="30">
        <v>24.1</v>
      </c>
      <c r="G90" s="30" t="s">
        <v>119</v>
      </c>
      <c r="H90" s="30">
        <v>9.0</v>
      </c>
      <c r="I90" s="30">
        <v>15.0</v>
      </c>
      <c r="J90" s="31"/>
    </row>
    <row r="91" ht="14.25" customHeight="1">
      <c r="A91" s="20" t="str">
        <f t="shared" si="19"/>
        <v/>
      </c>
      <c r="B91" s="20" t="str">
        <f t="shared" si="20"/>
        <v/>
      </c>
      <c r="C91" s="21" t="s">
        <v>124</v>
      </c>
      <c r="D91" s="32"/>
      <c r="E91" s="23">
        <v>0.0</v>
      </c>
      <c r="F91" s="24">
        <v>34.0</v>
      </c>
      <c r="G91" s="24" t="s">
        <v>125</v>
      </c>
      <c r="H91" s="24">
        <v>0.0</v>
      </c>
      <c r="I91" s="24">
        <v>34.0</v>
      </c>
      <c r="J91" s="25"/>
    </row>
    <row r="92" ht="14.25" customHeight="1">
      <c r="A92" s="26" t="str">
        <f t="shared" si="19"/>
        <v/>
      </c>
      <c r="B92" s="26" t="str">
        <f t="shared" si="20"/>
        <v/>
      </c>
      <c r="C92" s="27" t="s">
        <v>126</v>
      </c>
      <c r="D92" s="28"/>
      <c r="E92" s="29">
        <v>0.0</v>
      </c>
      <c r="F92" s="30">
        <v>0.9</v>
      </c>
      <c r="G92" s="30" t="s">
        <v>125</v>
      </c>
      <c r="H92" s="30">
        <v>0.0</v>
      </c>
      <c r="I92" s="30">
        <v>0.9</v>
      </c>
      <c r="J92" s="31"/>
    </row>
    <row r="93" ht="14.25" customHeight="1">
      <c r="A93" s="20" t="str">
        <f t="shared" si="19"/>
        <v/>
      </c>
      <c r="B93" s="20" t="str">
        <f t="shared" si="20"/>
        <v/>
      </c>
      <c r="C93" s="21" t="s">
        <v>127</v>
      </c>
      <c r="D93" s="33"/>
      <c r="E93" s="23">
        <v>13.0</v>
      </c>
      <c r="F93" s="24">
        <v>39.0</v>
      </c>
      <c r="G93" s="24" t="s">
        <v>128</v>
      </c>
      <c r="H93" s="24">
        <v>13.0</v>
      </c>
      <c r="I93" s="24">
        <v>25.0</v>
      </c>
      <c r="J93" s="25"/>
    </row>
    <row r="94" ht="18.0" customHeight="1">
      <c r="A94" s="78" t="s">
        <v>129</v>
      </c>
      <c r="B94" s="2"/>
      <c r="C94" s="2"/>
      <c r="D94" s="2"/>
      <c r="E94" s="2"/>
      <c r="F94" s="2"/>
      <c r="G94" s="2"/>
      <c r="H94" s="2"/>
      <c r="I94" s="2"/>
      <c r="J94" s="19"/>
    </row>
    <row r="95" ht="14.25" customHeight="1">
      <c r="A95" s="20" t="str">
        <f t="shared" ref="A95:A97" si="21">IF(ISNUMBER(D95),IF(D95&lt;E95,"▼ Low",IF(D95&gt;F95,"▲ High","")),"")</f>
        <v/>
      </c>
      <c r="B95" s="20" t="str">
        <f t="shared" ref="B95:B97" si="22">IF(ISNUMBER(D95),IF(D95&lt;H95,"▼ Low",IF(D95&gt;I95,"▲ High","")),"")</f>
        <v/>
      </c>
      <c r="C95" s="21" t="s">
        <v>130</v>
      </c>
      <c r="D95" s="22"/>
      <c r="E95" s="23">
        <f>IF(LEFT($I$2,1)="M",264,8)</f>
        <v>8</v>
      </c>
      <c r="F95" s="24">
        <f>IF(LEFT($I$2,1)="M",916,48)</f>
        <v>48</v>
      </c>
      <c r="G95" s="24" t="s">
        <v>119</v>
      </c>
      <c r="H95" s="24">
        <f>IF(LEFT($I$2,1)="M",500,IF($J$2="Y",10,20))</f>
        <v>20</v>
      </c>
      <c r="I95" s="24">
        <f>IF(LEFT($I$2,1)="M",1000,IF($J$2="Y",40,49))</f>
        <v>49</v>
      </c>
      <c r="J95" s="25" t="str">
        <f>IF(OR(ISBLANK(D95), ISBLANK(E2)), "",
  IFERROR(
    IFS(
      E2 &gt;= 70, "350–400 ng/dL",
      E2 &gt;= 60, "400–450 ng/dL",
      E2 &gt;= 50, "450–500 ng/dL",
      E2 &gt;= 20, "550–600 ng/dL",
      TRUE,      "Age Out of Range"
    ),
  "Invalid Age"))</f>
        <v/>
      </c>
    </row>
    <row r="96" ht="14.25" customHeight="1">
      <c r="A96" s="26" t="str">
        <f t="shared" si="21"/>
        <v/>
      </c>
      <c r="B96" s="26" t="str">
        <f t="shared" si="22"/>
        <v/>
      </c>
      <c r="C96" s="27" t="s">
        <v>131</v>
      </c>
      <c r="D96" s="28"/>
      <c r="E96" s="29">
        <f>IF(LEFT($I$2,1)="M",8.7,0.2)</f>
        <v>0.2</v>
      </c>
      <c r="F96" s="30">
        <f>IF(LEFT($I$2,1)="M",25.1,5)</f>
        <v>5</v>
      </c>
      <c r="G96" s="30" t="s">
        <v>121</v>
      </c>
      <c r="H96" s="30">
        <f>IF(LEFT($I$2,1)="M",10,IF($J$2="Y",0.5,1))</f>
        <v>1</v>
      </c>
      <c r="I96" s="30">
        <f>IF(LEFT($I$2,1)="M",22,IF($J$2="Y",3.5,4.5))</f>
        <v>4.5</v>
      </c>
      <c r="J96" s="31"/>
    </row>
    <row r="97" ht="14.25" customHeight="1">
      <c r="A97" s="20" t="str">
        <f t="shared" si="21"/>
        <v/>
      </c>
      <c r="B97" s="20" t="str">
        <f t="shared" si="22"/>
        <v/>
      </c>
      <c r="C97" s="21" t="s">
        <v>132</v>
      </c>
      <c r="D97" s="33" t="str">
        <f>IF(OR(ISBLANK(E2), ISBLANK(D95)), "",
  IFERROR(
    IFS(
      AND(E2 &gt;= 20, E2 &lt; 50, D95 &lt; 250), "Below 5th",
      AND(E2 &gt;= 20, E2 &lt; 50, D95 &lt;= 300), "5th",
      AND(E2 &gt;= 20, E2 &lt; 50, D95 &lt;= 350), "10th",
      AND(E2 &gt;= 20, E2 &lt; 50, D95 &lt;= 450), "25th",
      AND(E2 &gt;= 20, E2 &lt; 50, D95 &lt;= 600), "50th",
      AND(E2 &gt;= 20, E2 &lt; 50, D95 &lt;= 800), "75th",
      AND(E2 &gt;= 20, E2 &lt; 50, D95 &lt;= 1000), "90th",
      AND(E2 &gt;= 20, E2 &lt; 50, D95 &lt;= 1200), "95th",
      AND(E2 &gt;= 20, E2 &lt; 50, D95 &gt; 1200), "Above 95th",
      AND(E2 &gt;= 50, E2 &lt; 60, D95 &lt; 200), "Below 5th",
      AND(E2 &gt;= 50, E2 &lt; 60, D95 &lt;= 250), "5th",
      AND(E2 &gt;= 50, E2 &lt; 60, D95 &lt;= 300), "10th",
      AND(E2 &gt;= 50, E2 &lt; 60, D95 &lt;= 400), "25th",
      AND(E2 &gt;= 50, E2 &lt; 60, D95 &lt;= 500), "50th",
      AND(E2 &gt;= 50, E2 &lt; 60, D95 &lt;= 700), "75th",
      AND(E2 &gt;= 50, E2 &lt; 60, D95 &lt;= 850), "90th",
      AND(E2 &gt;= 50, E2 &lt; 60, D95 &lt;= 1000), "95th",
      AND(E2 &gt;= 50, E2 &lt; 60, D95 &gt; 1000), "Above 95th",
      AND(E2 &gt;= 60, E2 &lt; 70, D95 &lt; 150), "Below 5th",
      AND(E2 &gt;= 60, E2 &lt; 70, D95 &lt;= 200), "5th",
      AND(E2 &gt;= 60, E2 &lt; 70, D95 &lt;= 250), "10th",
      AND(E2 &gt;= 60, E2 &lt; 70, D95 &lt;= 350), "25th",
      AND(E2 &gt;= 60, E2 &lt; 70, D95 &lt;= 450), "50th",
      AND(E2 &gt;= 60, E2 &lt; 70, D95 &lt;= 600), "75th",
      AND(E2 &gt;= 60, E2 &lt; 70, D95 &lt;= 750), "90th",
      AND(E2 &gt;= 60, E2 &lt; 70, D95 &lt;= 900), "95th",
      AND(E2 &gt;= 60, E2 &lt; 70, D95 &gt; 900), "Above 95th",
      TRUE, "Age Out of Range"
    ),
  "Invalid Input"))</f>
        <v/>
      </c>
      <c r="E97" s="23"/>
      <c r="F97" s="24"/>
      <c r="G97" s="24"/>
      <c r="H97" s="24"/>
      <c r="I97" s="24"/>
      <c r="J97" s="25"/>
    </row>
    <row r="98" ht="18.0" customHeight="1">
      <c r="A98" s="79" t="s">
        <v>133</v>
      </c>
      <c r="B98" s="2"/>
      <c r="C98" s="2"/>
      <c r="D98" s="2"/>
      <c r="E98" s="2"/>
      <c r="F98" s="2"/>
      <c r="G98" s="2"/>
      <c r="H98" s="2"/>
      <c r="I98" s="2"/>
      <c r="J98" s="19"/>
    </row>
    <row r="99" ht="14.25" customHeight="1">
      <c r="A99" s="20" t="str">
        <f>IF(ISNUMBER(D99),IF(D99&lt;E99,"▼ Low",IF(D99&gt;F99,"▲ High","")),"")</f>
        <v/>
      </c>
      <c r="B99" s="20" t="str">
        <f>IF(ISNUMBER(D99),IF(D99&lt;H99,"▼ Low",IF(D99&gt;I99,"▲ High","")),"")</f>
        <v/>
      </c>
      <c r="C99" s="80" t="s">
        <v>134</v>
      </c>
      <c r="D99" s="81"/>
      <c r="E99" s="24"/>
      <c r="F99" s="24"/>
      <c r="G99" s="24"/>
      <c r="H99" s="24"/>
      <c r="I99" s="24"/>
      <c r="J99" s="25"/>
    </row>
    <row r="100" ht="15.75" customHeight="1">
      <c r="D100" s="82"/>
    </row>
    <row r="101" ht="13.5" customHeight="1">
      <c r="A101" s="83" t="s">
        <v>135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4:F4"/>
    <mergeCell ref="H4:I4"/>
    <mergeCell ref="A1:J1"/>
    <mergeCell ref="B2:C2"/>
    <mergeCell ref="G2:H2"/>
    <mergeCell ref="B3:C3"/>
    <mergeCell ref="D3:J3"/>
    <mergeCell ref="A4:B4"/>
    <mergeCell ref="D4:D5"/>
    <mergeCell ref="A98:J98"/>
    <mergeCell ref="A101:J101"/>
    <mergeCell ref="A6:J6"/>
    <mergeCell ref="A28:J28"/>
    <mergeCell ref="A62:J62"/>
    <mergeCell ref="A71:J71"/>
    <mergeCell ref="A78:J78"/>
    <mergeCell ref="A82:J82"/>
    <mergeCell ref="A94:J94"/>
  </mergeCells>
  <conditionalFormatting sqref="A6:A100">
    <cfRule type="expression" dxfId="0" priority="1">
      <formula>ISNUMBER(SEARCH("High",A6))</formula>
    </cfRule>
  </conditionalFormatting>
  <conditionalFormatting sqref="A6:A100">
    <cfRule type="expression" dxfId="1" priority="2">
      <formula>ISNUMBER(SEARCH("Low",A6))</formula>
    </cfRule>
  </conditionalFormatting>
  <conditionalFormatting sqref="B6:B99">
    <cfRule type="expression" dxfId="0" priority="3">
      <formula>ISNUMBER(SEARCH("High",B6))</formula>
    </cfRule>
  </conditionalFormatting>
  <conditionalFormatting sqref="B6:B100">
    <cfRule type="expression" dxfId="1" priority="4">
      <formula>ISNUMBER(SEARCH("Low",B6))</formula>
    </cfRule>
  </conditionalFormatting>
  <conditionalFormatting sqref="J33">
    <cfRule type="expression" dxfId="0" priority="5">
      <formula>ISNUMBER(SEARCH("Early Signs of Insulin Resistance",J33))</formula>
    </cfRule>
  </conditionalFormatting>
  <conditionalFormatting sqref="J33">
    <cfRule type="expression" dxfId="0" priority="6">
      <formula>ISNUMBER(SEARCH("Significant Signs of Insulin Resistance",J33))</formula>
    </cfRule>
  </conditionalFormatting>
  <dataValidations>
    <dataValidation type="list" allowBlank="1" showErrorMessage="1" sqref="I2">
      <formula1>"M,F"</formula1>
    </dataValidation>
  </dataValidations>
  <printOptions/>
  <pageMargins bottom="0.15" footer="0.0" header="0.0" left="0.15" right="0.15" top="0.15"/>
  <pageSetup orientation="portrait"/>
  <drawing r:id="rId1"/>
</worksheet>
</file>